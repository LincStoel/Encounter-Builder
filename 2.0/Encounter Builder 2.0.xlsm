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7261552\Documents\D&amp;D Folder\D&amp;D Excel 2.0\"/>
    </mc:Choice>
  </mc:AlternateContent>
  <xr:revisionPtr revIDLastSave="0" documentId="13_ncr:1_{BEF81B87-D888-4974-9692-744E9BE55240}" xr6:coauthVersionLast="28" xr6:coauthVersionMax="28" xr10:uidLastSave="{00000000-0000-0000-0000-000000000000}"/>
  <bookViews>
    <workbookView xWindow="0" yWindow="0" windowWidth="2775" windowHeight="8700" tabRatio="795" firstSheet="3" activeTab="3" xr2:uid="{E87C013C-5752-4EA5-B669-A903DEEB52D6}"/>
  </bookViews>
  <sheets>
    <sheet name="Aux Lists" sheetId="7" state="hidden" r:id="rId1"/>
    <sheet name="Character Lists" sheetId="8" state="hidden" r:id="rId2"/>
    <sheet name="Environmental" sheetId="6" state="hidden" r:id="rId3"/>
    <sheet name="Player Manager" sheetId="2" r:id="rId4"/>
    <sheet name="Readied Encounter" sheetId="10" r:id="rId5"/>
    <sheet name="Encounter Builder" sheetId="4" r:id="rId6"/>
    <sheet name="Xanathar's Encounter Builder" sheetId="3" r:id="rId7"/>
    <sheet name="Saved Encounters" sheetId="9" r:id="rId8"/>
    <sheet name="Enemy Library" sheetId="1" r:id="rId9"/>
  </sheets>
  <functionGroups builtInGroupCount="19"/>
  <externalReferences>
    <externalReference r:id="rId10"/>
    <externalReference r:id="rId11"/>
  </externalReferences>
  <definedNames>
    <definedName name="Dice">[1]Tables!$D$2:$D$8</definedName>
    <definedName name="NPCLocationDynamic" localSheetId="5">OFFSET(#REF!,0,0,COUNTA(INDIRECT("NPCLocations[Locations]"),1)-1-COUNTBLANK(INDIRECT("NPCLocations[Locations]")))</definedName>
    <definedName name="NPCLocationDynamic" localSheetId="6">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58" i="2" l="1"/>
  <c r="CM20" i="2"/>
  <c r="CD20" i="2"/>
  <c r="BU20" i="2"/>
  <c r="BL20" i="2"/>
  <c r="BC20" i="2"/>
  <c r="AT20" i="2"/>
  <c r="AB20" i="2"/>
  <c r="S20" i="2"/>
  <c r="AK20" i="2"/>
  <c r="AK36" i="2"/>
  <c r="S36" i="2"/>
  <c r="CM36" i="2"/>
  <c r="CD36" i="2"/>
  <c r="BU36" i="2"/>
  <c r="BL36" i="2"/>
  <c r="BC36" i="2"/>
  <c r="AT36" i="2"/>
  <c r="AB36" i="2"/>
  <c r="J36" i="2"/>
  <c r="CD62" i="2"/>
  <c r="BL62" i="2"/>
  <c r="BC62" i="2"/>
  <c r="V23" i="4" l="1"/>
  <c r="V27" i="4"/>
  <c r="V31" i="4"/>
  <c r="V35" i="4"/>
  <c r="V39" i="4"/>
  <c r="V43" i="4"/>
  <c r="V47" i="4"/>
  <c r="P20" i="4"/>
  <c r="V20" i="4" s="1"/>
  <c r="P21" i="4"/>
  <c r="V21" i="4" s="1"/>
  <c r="P22" i="4"/>
  <c r="V22" i="4" s="1"/>
  <c r="P23" i="4"/>
  <c r="P24" i="4"/>
  <c r="V24" i="4" s="1"/>
  <c r="P25" i="4"/>
  <c r="V25" i="4" s="1"/>
  <c r="P26" i="4"/>
  <c r="V26" i="4" s="1"/>
  <c r="P27" i="4"/>
  <c r="P28" i="4"/>
  <c r="V28" i="4" s="1"/>
  <c r="P29" i="4"/>
  <c r="V29" i="4" s="1"/>
  <c r="P30" i="4"/>
  <c r="V30" i="4" s="1"/>
  <c r="P31" i="4"/>
  <c r="P32" i="4"/>
  <c r="V32" i="4" s="1"/>
  <c r="P33" i="4"/>
  <c r="V33" i="4" s="1"/>
  <c r="P34" i="4"/>
  <c r="V34" i="4" s="1"/>
  <c r="P35" i="4"/>
  <c r="P36" i="4"/>
  <c r="V36" i="4" s="1"/>
  <c r="P37" i="4"/>
  <c r="V37" i="4" s="1"/>
  <c r="P38" i="4"/>
  <c r="V38" i="4" s="1"/>
  <c r="P39" i="4"/>
  <c r="P40" i="4"/>
  <c r="V40" i="4" s="1"/>
  <c r="P41" i="4"/>
  <c r="V41" i="4" s="1"/>
  <c r="P42" i="4"/>
  <c r="V42" i="4" s="1"/>
  <c r="P43" i="4"/>
  <c r="P44" i="4"/>
  <c r="V44" i="4" s="1"/>
  <c r="P45" i="4"/>
  <c r="V45" i="4" s="1"/>
  <c r="P46" i="4"/>
  <c r="V46" i="4" s="1"/>
  <c r="P47" i="4"/>
  <c r="P48" i="4"/>
  <c r="V48" i="4" s="1"/>
  <c r="P19" i="4"/>
  <c r="V19" i="4" s="1"/>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CM52" i="2"/>
  <c r="CD52" i="2"/>
  <c r="BL52" i="2"/>
  <c r="BU52" i="2"/>
  <c r="BC52" i="2"/>
  <c r="AT52" i="2"/>
  <c r="AK52" i="2"/>
  <c r="AB52" i="2"/>
  <c r="S52" i="2"/>
  <c r="J52" i="2"/>
  <c r="M33" i="3" l="1"/>
  <c r="P60" i="3" s="1"/>
  <c r="V60" i="3" s="1"/>
  <c r="AD29" i="3"/>
  <c r="A12" i="3"/>
  <c r="A11" i="3"/>
  <c r="A10" i="3"/>
  <c r="A9" i="3"/>
  <c r="F9" i="3" s="1"/>
  <c r="A8" i="3"/>
  <c r="A7" i="3"/>
  <c r="A6" i="3"/>
  <c r="A5" i="3"/>
  <c r="A4" i="3"/>
  <c r="A3" i="3"/>
  <c r="H9" i="3" a="1"/>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K9" i="3"/>
  <c r="O9" i="3"/>
  <c r="S9" i="3"/>
  <c r="W9" i="3"/>
  <c r="AA9" i="3"/>
  <c r="J9" i="3"/>
  <c r="V9" i="3"/>
  <c r="H9" i="3"/>
  <c r="L9" i="3"/>
  <c r="P9" i="3"/>
  <c r="T9" i="3"/>
  <c r="X9" i="3"/>
  <c r="AB9" i="3"/>
  <c r="N9" i="3"/>
  <c r="Z9" i="3"/>
  <c r="I9" i="3"/>
  <c r="M9" i="3"/>
  <c r="Q9" i="3"/>
  <c r="U9" i="3"/>
  <c r="Y9" i="3"/>
  <c r="AC9" i="3"/>
  <c r="R9" i="3"/>
  <c r="B1" i="10"/>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AB20" i="3"/>
  <c r="O20" i="3"/>
  <c r="Q20" i="3"/>
  <c r="Y20" i="3"/>
  <c r="T20" i="3"/>
  <c r="W20" i="3"/>
  <c r="L20" i="3"/>
  <c r="N20" i="3"/>
  <c r="Z20" i="3"/>
  <c r="V20" i="3"/>
  <c r="M20" i="3"/>
  <c r="I20" i="3"/>
  <c r="AA20" i="3"/>
  <c r="U20" i="3"/>
  <c r="AC20" i="3"/>
  <c r="R20" i="3"/>
  <c r="K20" i="3"/>
  <c r="H20" i="3"/>
  <c r="J20" i="3"/>
  <c r="S20" i="3"/>
  <c r="X20" i="3"/>
  <c r="P20" i="3"/>
  <c r="BC15" i="2"/>
  <c r="AT15" i="2"/>
  <c r="CD15" i="2"/>
  <c r="AK15" i="2"/>
  <c r="S15" i="2"/>
  <c r="BL15" i="2"/>
  <c r="BU15" i="2"/>
  <c r="CM15" i="2"/>
  <c r="J15" i="2"/>
  <c r="AB15" i="2"/>
  <c r="F12" i="3" l="1"/>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8" i="2"/>
  <c r="S58" i="2"/>
  <c r="AB58" i="2"/>
  <c r="AK58" i="2"/>
  <c r="AT58" i="2"/>
  <c r="BL58" i="2"/>
  <c r="BU58" i="2"/>
  <c r="CM58" i="2"/>
  <c r="S23" i="2"/>
  <c r="AB23" i="2"/>
  <c r="AK23" i="2"/>
  <c r="AT23" i="2"/>
  <c r="BC23" i="2"/>
  <c r="BL23" i="2"/>
  <c r="BU23" i="2"/>
  <c r="CD23" i="2"/>
  <c r="CM23" i="2"/>
  <c r="AT62" i="2"/>
  <c r="AK62" i="2"/>
  <c r="S62" i="2"/>
  <c r="BU62" i="2"/>
  <c r="CM62" i="2"/>
  <c r="AB62" i="2"/>
  <c r="H11" i="3" a="1"/>
  <c r="H8" i="3" a="1"/>
  <c r="H4" i="3" a="1"/>
  <c r="H12" i="3" a="1"/>
  <c r="H10" i="3" a="1"/>
  <c r="H5" i="3" a="1"/>
  <c r="H3" i="3" a="1"/>
  <c r="H7" i="3" a="1"/>
  <c r="H6" i="3" a="1"/>
  <c r="N12" i="3" l="1"/>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8" i="2"/>
  <c r="J23" i="2"/>
  <c r="J62" i="2"/>
  <c r="M22" i="3"/>
  <c r="W22" i="3"/>
  <c r="P22" i="3"/>
  <c r="K22" i="3"/>
  <c r="S22" i="3"/>
  <c r="O22" i="3"/>
  <c r="AC22" i="3"/>
  <c r="X22" i="3"/>
  <c r="Q22" i="3"/>
  <c r="AA22" i="3"/>
  <c r="U22" i="3"/>
  <c r="H22" i="3"/>
  <c r="V22" i="3"/>
  <c r="I22" i="3"/>
  <c r="J22" i="3"/>
  <c r="Y22" i="3"/>
  <c r="N22" i="3"/>
  <c r="AB22" i="3"/>
  <c r="R22" i="3"/>
  <c r="Z22" i="3"/>
  <c r="T22" i="3"/>
  <c r="L22" i="3"/>
  <c r="L19" i="3"/>
  <c r="R19" i="3"/>
  <c r="K19" i="3"/>
  <c r="S19" i="3"/>
  <c r="U19" i="3"/>
  <c r="I19" i="3"/>
  <c r="AB19" i="3"/>
  <c r="W19" i="3"/>
  <c r="P19" i="3"/>
  <c r="V19" i="3"/>
  <c r="J19" i="3"/>
  <c r="N19" i="3"/>
  <c r="M19" i="3"/>
  <c r="X19" i="3"/>
  <c r="O19" i="3"/>
  <c r="T19" i="3"/>
  <c r="Z19" i="3"/>
  <c r="AC19" i="3"/>
  <c r="Y19" i="3"/>
  <c r="Q19" i="3"/>
  <c r="AA19" i="3"/>
  <c r="H19" i="3"/>
  <c r="N15" i="3"/>
  <c r="Q15" i="3"/>
  <c r="M15" i="3"/>
  <c r="U15" i="3"/>
  <c r="X15" i="3"/>
  <c r="K15" i="3"/>
  <c r="W15" i="3"/>
  <c r="O15" i="3"/>
  <c r="P15" i="3"/>
  <c r="AB15" i="3"/>
  <c r="H15" i="3"/>
  <c r="J15" i="3"/>
  <c r="R15" i="3"/>
  <c r="T15" i="3"/>
  <c r="L15" i="3"/>
  <c r="Z15" i="3"/>
  <c r="S15" i="3"/>
  <c r="I15" i="3"/>
  <c r="V15" i="3"/>
  <c r="AC15" i="3"/>
  <c r="AA15" i="3"/>
  <c r="Y15" i="3"/>
  <c r="I23" i="3"/>
  <c r="W23" i="3"/>
  <c r="L23" i="3"/>
  <c r="K23" i="3"/>
  <c r="U23" i="3"/>
  <c r="R21" i="3"/>
  <c r="Q21" i="3"/>
  <c r="W21" i="3"/>
  <c r="N21" i="3"/>
  <c r="U21" i="3"/>
  <c r="Z21" i="3"/>
  <c r="AB17" i="3"/>
  <c r="O14" i="3"/>
  <c r="J16" i="3"/>
  <c r="H14" i="3"/>
  <c r="P18" i="3"/>
  <c r="V18" i="3"/>
  <c r="Y16" i="3"/>
  <c r="Z17" i="3"/>
  <c r="K17" i="3"/>
  <c r="X16" i="3"/>
  <c r="AA17" i="3"/>
  <c r="AA16" i="3"/>
  <c r="O16" i="3"/>
  <c r="N17" i="3"/>
  <c r="M18" i="3"/>
  <c r="M14" i="3"/>
  <c r="Z18" i="3"/>
  <c r="M16" i="3"/>
  <c r="T16" i="3"/>
  <c r="J14" i="3"/>
  <c r="S16" i="3"/>
  <c r="V17" i="3"/>
  <c r="AA14" i="3"/>
  <c r="R23" i="3"/>
  <c r="AA23" i="3"/>
  <c r="AC23" i="3"/>
  <c r="O23" i="3"/>
  <c r="P23" i="3"/>
  <c r="O21" i="3"/>
  <c r="S21" i="3"/>
  <c r="P21" i="3"/>
  <c r="K21" i="3"/>
  <c r="H21" i="3"/>
  <c r="T14" i="3"/>
  <c r="L14" i="3"/>
  <c r="Z16" i="3"/>
  <c r="R17" i="3"/>
  <c r="J17" i="3"/>
  <c r="N18" i="3"/>
  <c r="V14" i="3"/>
  <c r="M17" i="3"/>
  <c r="P16" i="3"/>
  <c r="AC14" i="3"/>
  <c r="AC18" i="3"/>
  <c r="N14" i="3"/>
  <c r="S18" i="3"/>
  <c r="J18" i="3"/>
  <c r="U18" i="3"/>
  <c r="V16" i="3"/>
  <c r="S14" i="3"/>
  <c r="AA18" i="3"/>
  <c r="Y18" i="3"/>
  <c r="N23" i="3"/>
  <c r="AB23" i="3"/>
  <c r="M23" i="3"/>
  <c r="Y23" i="3"/>
  <c r="T23" i="3"/>
  <c r="H23" i="3"/>
  <c r="AA21" i="3"/>
  <c r="M21" i="3"/>
  <c r="V21" i="3"/>
  <c r="Y21" i="3"/>
  <c r="I21" i="3"/>
  <c r="X18" i="3"/>
  <c r="W16" i="3"/>
  <c r="R14" i="3"/>
  <c r="L17" i="3"/>
  <c r="K16" i="3"/>
  <c r="U14" i="3"/>
  <c r="I16" i="3"/>
  <c r="W14" i="3"/>
  <c r="W18" i="3"/>
  <c r="I14" i="3"/>
  <c r="O17" i="3"/>
  <c r="H18" i="3"/>
  <c r="U17" i="3"/>
  <c r="I18" i="3"/>
  <c r="X17" i="3"/>
  <c r="P14" i="3"/>
  <c r="N16" i="3"/>
  <c r="P17" i="3"/>
  <c r="R16" i="3"/>
  <c r="I17" i="3"/>
  <c r="U16" i="3"/>
  <c r="X23" i="3"/>
  <c r="S23" i="3"/>
  <c r="Q23" i="3"/>
  <c r="Z23" i="3"/>
  <c r="V23" i="3"/>
  <c r="J23" i="3"/>
  <c r="L21" i="3"/>
  <c r="AC21" i="3"/>
  <c r="AB21" i="3"/>
  <c r="J21" i="3"/>
  <c r="X21" i="3"/>
  <c r="T21" i="3"/>
  <c r="K14" i="3"/>
  <c r="X14" i="3"/>
  <c r="W17" i="3"/>
  <c r="AC17" i="3"/>
  <c r="AB16" i="3"/>
  <c r="L18" i="3"/>
  <c r="AC16" i="3"/>
  <c r="Y14" i="3"/>
  <c r="K18" i="3"/>
  <c r="Q18" i="3"/>
  <c r="S17" i="3"/>
  <c r="Q14" i="3"/>
  <c r="L16" i="3"/>
  <c r="Q16" i="3"/>
  <c r="AB14" i="3"/>
  <c r="Y17" i="3"/>
  <c r="T17" i="3"/>
  <c r="O18" i="3"/>
  <c r="Z14" i="3"/>
  <c r="T18" i="3"/>
  <c r="R18" i="3"/>
  <c r="Q17" i="3"/>
  <c r="AB18" i="3"/>
  <c r="H16" i="3"/>
  <c r="H17" i="3"/>
  <c r="J26" i="3" l="1"/>
  <c r="AX26" i="3"/>
  <c r="AV26" i="3"/>
  <c r="AT26" i="3"/>
  <c r="AR26" i="3"/>
  <c r="AP26" i="3"/>
  <c r="AN26" i="3"/>
  <c r="AL26" i="3"/>
  <c r="AJ26" i="3"/>
  <c r="AH26" i="3"/>
  <c r="AF26" i="3"/>
  <c r="AD26" i="3"/>
  <c r="AB26" i="3"/>
  <c r="Z26" i="3"/>
  <c r="X26" i="3"/>
  <c r="V26" i="3"/>
  <c r="T26" i="3"/>
  <c r="R26" i="3"/>
  <c r="P26" i="3"/>
  <c r="N26" i="3"/>
  <c r="L26" i="3"/>
  <c r="H26" i="3"/>
  <c r="AB24" i="4"/>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L27" i="3"/>
  <c r="L28" i="3" s="1"/>
  <c r="T27" i="3"/>
  <c r="T28" i="3" s="1"/>
  <c r="AB27" i="3"/>
  <c r="AB28" i="3" s="1"/>
  <c r="AJ27" i="3"/>
  <c r="AJ28" i="3" s="1"/>
  <c r="AR27" i="3"/>
  <c r="AR28" i="3" s="1"/>
  <c r="Z27" i="3"/>
  <c r="Z28" i="3" s="1"/>
  <c r="AP27" i="3"/>
  <c r="AP28" i="3" s="1"/>
  <c r="N27" i="3"/>
  <c r="N28" i="3" s="1"/>
  <c r="V27" i="3"/>
  <c r="V28" i="3" s="1"/>
  <c r="AD27" i="3"/>
  <c r="AD28" i="3" s="1"/>
  <c r="AL27" i="3"/>
  <c r="AL28" i="3" s="1"/>
  <c r="AT27" i="3"/>
  <c r="AT28" i="3" s="1"/>
  <c r="AH27" i="3"/>
  <c r="AH28" i="3" s="1"/>
  <c r="P27" i="3"/>
  <c r="P28" i="3" s="1"/>
  <c r="X27" i="3"/>
  <c r="X28" i="3" s="1"/>
  <c r="AF27" i="3"/>
  <c r="AF28" i="3" s="1"/>
  <c r="AN27" i="3"/>
  <c r="AN28" i="3" s="1"/>
  <c r="AV27" i="3"/>
  <c r="AV28" i="3" s="1"/>
  <c r="R27" i="3"/>
  <c r="R28" i="3" s="1"/>
  <c r="AX27" i="3"/>
  <c r="AX28" i="3" s="1"/>
  <c r="H27" i="3"/>
  <c r="H28" i="3" s="1"/>
  <c r="J27" i="3"/>
  <c r="J28" i="3" s="1"/>
  <c r="H15" i="4"/>
  <c r="B2" i="10"/>
  <c r="C28" i="3" l="1"/>
  <c r="H30" i="3" l="1"/>
  <c r="V30" i="3"/>
  <c r="Z30" i="3"/>
  <c r="AL30" i="3"/>
  <c r="R30" i="3"/>
  <c r="T30" i="3"/>
  <c r="J30" i="3"/>
  <c r="P30" i="3"/>
  <c r="AN30" i="3"/>
  <c r="AJ30" i="3"/>
  <c r="AF30" i="3"/>
  <c r="AD30" i="3"/>
  <c r="AV30" i="3"/>
  <c r="L30" i="3"/>
  <c r="AR30" i="3"/>
  <c r="AT30" i="3"/>
  <c r="AX30" i="3"/>
  <c r="X30" i="3"/>
  <c r="AH30" i="3"/>
  <c r="AB30" i="3"/>
  <c r="N30" i="3"/>
  <c r="AP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<sst xmlns="http://schemas.openxmlformats.org/spreadsheetml/2006/main" count="2486" uniqueCount="1492">
  <si>
    <t>Block</t>
  </si>
  <si>
    <t>Size</t>
  </si>
  <si>
    <t>AC</t>
  </si>
  <si>
    <t>HP</t>
  </si>
  <si>
    <t>STR</t>
  </si>
  <si>
    <t>Proficiency Bonus</t>
  </si>
  <si>
    <t>CR</t>
  </si>
  <si>
    <t>EXP</t>
  </si>
  <si>
    <t>Source</t>
  </si>
  <si>
    <t>Aarakocra</t>
  </si>
  <si>
    <t>Medium Humanoid</t>
  </si>
  <si>
    <t>13 (3d8)</t>
  </si>
  <si>
    <t>MM 12</t>
  </si>
  <si>
    <t>Aboleth</t>
  </si>
  <si>
    <t>Large Aberration</t>
  </si>
  <si>
    <t>135 (18d10+36)</t>
  </si>
  <si>
    <t>MM 13</t>
  </si>
  <si>
    <t>Abominable Yeti</t>
  </si>
  <si>
    <t>Huge Monstrosity</t>
  </si>
  <si>
    <t>MM 306</t>
  </si>
  <si>
    <t>Acolyte</t>
  </si>
  <si>
    <t>Medium humanoid (any race)</t>
  </si>
  <si>
    <t>9 (2d8)</t>
  </si>
  <si>
    <t>MM 342</t>
  </si>
  <si>
    <t>Adult Black Dragon</t>
  </si>
  <si>
    <t>Huge Dragon</t>
  </si>
  <si>
    <t/>
  </si>
  <si>
    <t>195 (17d12 + 85)</t>
  </si>
  <si>
    <t>Adult Red Dragon</t>
  </si>
  <si>
    <t>256 (19d12 + 133)</t>
  </si>
  <si>
    <t>Air Elemental</t>
  </si>
  <si>
    <t>Large Elemental</t>
  </si>
  <si>
    <t>90 (12d10 + 24)</t>
  </si>
  <si>
    <t>MM 124</t>
  </si>
  <si>
    <t>Allosaurus</t>
  </si>
  <si>
    <t>Large Beast</t>
  </si>
  <si>
    <t>MM 79</t>
  </si>
  <si>
    <t>Androsphinx</t>
  </si>
  <si>
    <t>Large Monstrosity</t>
  </si>
  <si>
    <t>MM 281</t>
  </si>
  <si>
    <t>Animated Armor</t>
  </si>
  <si>
    <t>Medium Construct</t>
  </si>
  <si>
    <t>33 (6d8+6)</t>
  </si>
  <si>
    <t>MM 19</t>
  </si>
  <si>
    <t>Ankheg</t>
  </si>
  <si>
    <t>39 (6d10+6)</t>
  </si>
  <si>
    <t>MM 21</t>
  </si>
  <si>
    <t>Ankylosaurus</t>
  </si>
  <si>
    <t>Huge Beast</t>
  </si>
  <si>
    <t>Ape</t>
  </si>
  <si>
    <t>Medium Beast</t>
  </si>
  <si>
    <t>MM 317</t>
  </si>
  <si>
    <t>Arcanaloth</t>
  </si>
  <si>
    <t>Medium Fiend</t>
  </si>
  <si>
    <t>MM 313</t>
  </si>
  <si>
    <t>Archmage</t>
  </si>
  <si>
    <t>12 (15 with mage armor)</t>
  </si>
  <si>
    <t>99 (18d8 + 18)</t>
  </si>
  <si>
    <t>Assassin</t>
  </si>
  <si>
    <t>78 (12d8 + 24)</t>
  </si>
  <si>
    <t>MM 343</t>
  </si>
  <si>
    <t>Awakened Shrub</t>
  </si>
  <si>
    <t>Small Plant</t>
  </si>
  <si>
    <t>Awakened Tree</t>
  </si>
  <si>
    <t>Huge Plant</t>
  </si>
  <si>
    <t>Axe Beak</t>
  </si>
  <si>
    <t>Azer</t>
  </si>
  <si>
    <t>Medium Elemental</t>
  </si>
  <si>
    <t>39 (6d8+12)</t>
  </si>
  <si>
    <t>MM 22</t>
  </si>
  <si>
    <t>Baboon</t>
  </si>
  <si>
    <t>Small Beast</t>
  </si>
  <si>
    <t>MM 318</t>
  </si>
  <si>
    <t>Badger</t>
  </si>
  <si>
    <t>Tiny Beast</t>
  </si>
  <si>
    <t>Ballista</t>
  </si>
  <si>
    <t>Large Object</t>
  </si>
  <si>
    <t>None</t>
  </si>
  <si>
    <t>DMG 255</t>
  </si>
  <si>
    <t>Balor</t>
  </si>
  <si>
    <t>Huge Fiend</t>
  </si>
  <si>
    <t>262 (21d12+126)</t>
  </si>
  <si>
    <t>MM 55</t>
  </si>
  <si>
    <t>Banderhobb</t>
  </si>
  <si>
    <t>VMG</t>
  </si>
  <si>
    <t>Bandit</t>
  </si>
  <si>
    <t>12 (Leather Armor)</t>
  </si>
  <si>
    <t>11 (2d8 + 2)</t>
  </si>
  <si>
    <t>Bandit Captain</t>
  </si>
  <si>
    <t>15 (Studded Leather)</t>
  </si>
  <si>
    <t>65 (10d8 + 20)</t>
  </si>
  <si>
    <t>MM 344</t>
  </si>
  <si>
    <t>Banshee</t>
  </si>
  <si>
    <t>Medium Undead</t>
  </si>
  <si>
    <t>58 (13d8)</t>
  </si>
  <si>
    <t>MM 23</t>
  </si>
  <si>
    <t>Barbed Devil</t>
  </si>
  <si>
    <t>Medium Fiend (Devil)</t>
  </si>
  <si>
    <t>MM 70</t>
  </si>
  <si>
    <t>Barghest</t>
  </si>
  <si>
    <t>Large Fiend</t>
  </si>
  <si>
    <t>Barlgura</t>
  </si>
  <si>
    <t>68 (8d10+24)</t>
  </si>
  <si>
    <t>MM 56</t>
  </si>
  <si>
    <t>Basilisk</t>
  </si>
  <si>
    <t>Medium Monstrosity</t>
  </si>
  <si>
    <t>52 (8d8+16)</t>
  </si>
  <si>
    <t>MM 24</t>
  </si>
  <si>
    <t>Bat</t>
  </si>
  <si>
    <t>Bearded Devil</t>
  </si>
  <si>
    <t>Behir</t>
  </si>
  <si>
    <t>168 (16d12+64)</t>
  </si>
  <si>
    <t>MM 25</t>
  </si>
  <si>
    <t>Beholder</t>
  </si>
  <si>
    <t>180 (19d10+76)</t>
  </si>
  <si>
    <t>MM 28</t>
  </si>
  <si>
    <t>Beholder Zombie</t>
  </si>
  <si>
    <t>Large Undead</t>
  </si>
  <si>
    <t>93 (11d10+33)</t>
  </si>
  <si>
    <t>MM 316</t>
  </si>
  <si>
    <t>Berzerker</t>
  </si>
  <si>
    <t>67 (9d8 + 27)</t>
  </si>
  <si>
    <t>Black Bear</t>
  </si>
  <si>
    <t>Black Dragon Wyrmling</t>
  </si>
  <si>
    <t>Medium Dragon</t>
  </si>
  <si>
    <t>33 (6d8 + 6)</t>
  </si>
  <si>
    <t>Black Dragon, Adult</t>
  </si>
  <si>
    <t>MM 88</t>
  </si>
  <si>
    <t>Black Dragon, Ancient</t>
  </si>
  <si>
    <t>Gargantuan Dragon</t>
  </si>
  <si>
    <t>MM 87</t>
  </si>
  <si>
    <t>Black Dragon, Wyrmling</t>
  </si>
  <si>
    <t>Black Dragon, Young</t>
  </si>
  <si>
    <t>Large Dragon</t>
  </si>
  <si>
    <t>Black Pudding</t>
  </si>
  <si>
    <t>Large Ooze</t>
  </si>
  <si>
    <t>85 (10d10 + 30)</t>
  </si>
  <si>
    <t>MM 241</t>
  </si>
  <si>
    <t>Blink Dog</t>
  </si>
  <si>
    <t>Medium Fey</t>
  </si>
  <si>
    <t>Blood Hawk</t>
  </si>
  <si>
    <t>MM 319</t>
  </si>
  <si>
    <t>Blue Dragon, Adult</t>
  </si>
  <si>
    <t>MM 91</t>
  </si>
  <si>
    <t>Blue Dragon, Ancient</t>
  </si>
  <si>
    <t>MM 90</t>
  </si>
  <si>
    <t>Blue Dragon, Wyrmling</t>
  </si>
  <si>
    <t>Blue Dragon, Young</t>
  </si>
  <si>
    <t>Blue Slaad</t>
  </si>
  <si>
    <t>MM 276</t>
  </si>
  <si>
    <t>Boar</t>
  </si>
  <si>
    <t>Bodak</t>
  </si>
  <si>
    <t>Bone Devil</t>
  </si>
  <si>
    <t>Large Fiend (Devil)</t>
  </si>
  <si>
    <t>MM 71</t>
  </si>
  <si>
    <t>Bone Naga</t>
  </si>
  <si>
    <t>58 (9d10 + 9)</t>
  </si>
  <si>
    <t>MM 233</t>
  </si>
  <si>
    <t>Brass Dragon, Adult</t>
  </si>
  <si>
    <t>172 (15d12 + 75)</t>
  </si>
  <si>
    <t>MM 105</t>
  </si>
  <si>
    <t>Brass Dragon, Ancient</t>
  </si>
  <si>
    <t>297 (17d20 + 119)</t>
  </si>
  <si>
    <t>MM 104</t>
  </si>
  <si>
    <t>Brass Dragon, Wyrmling</t>
  </si>
  <si>
    <t>16 (3d8 + 3)</t>
  </si>
  <si>
    <t>MM 106</t>
  </si>
  <si>
    <t>Brass Dragon, Young</t>
  </si>
  <si>
    <t>110 (13d10 + 39)</t>
  </si>
  <si>
    <t>Bronze Dragon, Adult</t>
  </si>
  <si>
    <t>212 (17d12 + 102)</t>
  </si>
  <si>
    <t>MM 108</t>
  </si>
  <si>
    <t>Bronze Dragon, Ancient</t>
  </si>
  <si>
    <t>444 (24d20 + 192)</t>
  </si>
  <si>
    <t>MM 107</t>
  </si>
  <si>
    <t>Bronze Dragon, Wyrmling</t>
  </si>
  <si>
    <t>32 (5d8 + 10)</t>
  </si>
  <si>
    <t>MM 109</t>
  </si>
  <si>
    <t>Bronze Dragon, Young</t>
  </si>
  <si>
    <t>142 (15d10 + 60)</t>
  </si>
  <si>
    <t>Brown Bear</t>
  </si>
  <si>
    <t>Bugbear</t>
  </si>
  <si>
    <t>27 (5d8+5)</t>
  </si>
  <si>
    <t>MM 33</t>
  </si>
  <si>
    <t>Bugbear Chief</t>
  </si>
  <si>
    <t>65 (10d8+20)</t>
  </si>
  <si>
    <t>Bulette</t>
  </si>
  <si>
    <t>94 (9d10+45)</t>
  </si>
  <si>
    <t>MM 34</t>
  </si>
  <si>
    <t>Bullywug</t>
  </si>
  <si>
    <t>11 (2d8+2)</t>
  </si>
  <si>
    <t>MM 35</t>
  </si>
  <si>
    <t>Cambion</t>
  </si>
  <si>
    <t>82 (11d8+33)</t>
  </si>
  <si>
    <t>MM 36</t>
  </si>
  <si>
    <t>Camel</t>
  </si>
  <si>
    <t>MM 320</t>
  </si>
  <si>
    <t>Cannon</t>
  </si>
  <si>
    <t>Carrion Crawler</t>
  </si>
  <si>
    <t>51 (6d10+18)</t>
  </si>
  <si>
    <t>MM 37</t>
  </si>
  <si>
    <t>Cat</t>
  </si>
  <si>
    <t>Catoblepas</t>
  </si>
  <si>
    <t>Cauldron, Suspended</t>
  </si>
  <si>
    <t>Cave Fisher</t>
  </si>
  <si>
    <t>Centaur</t>
  </si>
  <si>
    <t>45 (6d10+12)</t>
  </si>
  <si>
    <t>MM 38</t>
  </si>
  <si>
    <t>Chain Devil</t>
  </si>
  <si>
    <t>MM 72</t>
  </si>
  <si>
    <t>Chasme</t>
  </si>
  <si>
    <t>84 (13d10+13)</t>
  </si>
  <si>
    <t>MM 57</t>
  </si>
  <si>
    <t>Chimera</t>
  </si>
  <si>
    <t>114 (12d10+48)</t>
  </si>
  <si>
    <t>MM 39</t>
  </si>
  <si>
    <t>Chitine</t>
  </si>
  <si>
    <t>Small Monstrosity</t>
  </si>
  <si>
    <t>Chuul</t>
  </si>
  <si>
    <t>MM 40</t>
  </si>
  <si>
    <t>Clay Golem</t>
  </si>
  <si>
    <t>Large Construct</t>
  </si>
  <si>
    <t>133 (14d10 + 56)</t>
  </si>
  <si>
    <t>MM 168</t>
  </si>
  <si>
    <t>Cloaker</t>
  </si>
  <si>
    <t>78 (12d10+12)</t>
  </si>
  <si>
    <t>MM 41</t>
  </si>
  <si>
    <t>Cloud Giant</t>
  </si>
  <si>
    <t>Huge Giant</t>
  </si>
  <si>
    <t>200 (16d12 + 96)</t>
  </si>
  <si>
    <t>MM 154</t>
  </si>
  <si>
    <t>Cockatrice</t>
  </si>
  <si>
    <t>27 (6d6+6)</t>
  </si>
  <si>
    <t>MM 42</t>
  </si>
  <si>
    <t>Commoner</t>
  </si>
  <si>
    <t>4 (1d8)</t>
  </si>
  <si>
    <t>MM 345</t>
  </si>
  <si>
    <t>Constrictor Snake</t>
  </si>
  <si>
    <t>large Beast</t>
  </si>
  <si>
    <t>Copper Dragon, Adult</t>
  </si>
  <si>
    <t>184 (16d12 + 80)</t>
  </si>
  <si>
    <t>MM 111</t>
  </si>
  <si>
    <t>Copper Dragon, Ancient</t>
  </si>
  <si>
    <t>350 (20d20 + 140)</t>
  </si>
  <si>
    <t>MM 110</t>
  </si>
  <si>
    <t>Copper Dragon, Wyrmling</t>
  </si>
  <si>
    <t>22 (4d8 + 4)</t>
  </si>
  <si>
    <t>MM 112</t>
  </si>
  <si>
    <t>Copper Dragon, Young</t>
  </si>
  <si>
    <t>11 9 (14d10 + 42)</t>
  </si>
  <si>
    <t>Couatl</t>
  </si>
  <si>
    <t>Medium Celestial</t>
  </si>
  <si>
    <t>97 (13d8+39)</t>
  </si>
  <si>
    <t>MM 43</t>
  </si>
  <si>
    <t>Crab</t>
  </si>
  <si>
    <t>Crawling Claw</t>
  </si>
  <si>
    <t>Tiny Undead</t>
  </si>
  <si>
    <t>2 (1d4)</t>
  </si>
  <si>
    <t>MM 44</t>
  </si>
  <si>
    <t>Crocodile</t>
  </si>
  <si>
    <t>Cult Fanatic</t>
  </si>
  <si>
    <t>Cultist</t>
  </si>
  <si>
    <t>Cyclops</t>
  </si>
  <si>
    <t>138 (12d12 +60)</t>
  </si>
  <si>
    <t>MM 45</t>
  </si>
  <si>
    <t>Dao</t>
  </si>
  <si>
    <t>187 (15d10 + 105)</t>
  </si>
  <si>
    <t>MM 143</t>
  </si>
  <si>
    <t>Dark Mantle</t>
  </si>
  <si>
    <t>22 (5d6+5)</t>
  </si>
  <si>
    <t>Darkling</t>
  </si>
  <si>
    <t>Small Fey</t>
  </si>
  <si>
    <t>13 (3d6 + 3)</t>
  </si>
  <si>
    <t>VGM 134</t>
  </si>
  <si>
    <t>Darkling Elder</t>
  </si>
  <si>
    <t>27 (5d8 + 5)</t>
  </si>
  <si>
    <t>Darkmantle</t>
  </si>
  <si>
    <t>MM 46</t>
  </si>
  <si>
    <t>Death Dog</t>
  </si>
  <si>
    <t>39 (6d8 + 12)</t>
  </si>
  <si>
    <t>MM 321</t>
  </si>
  <si>
    <t>Death Kiss</t>
  </si>
  <si>
    <t>Death Knight</t>
  </si>
  <si>
    <t>180 (19d8+95)</t>
  </si>
  <si>
    <t>MM 47</t>
  </si>
  <si>
    <t>Death Slaad</t>
  </si>
  <si>
    <t>Medium Aberration (Shapechanger)</t>
  </si>
  <si>
    <t>MM 278</t>
  </si>
  <si>
    <t>Death Tyrant</t>
  </si>
  <si>
    <t>187 (25d10 +50)</t>
  </si>
  <si>
    <t>MM 29</t>
  </si>
  <si>
    <t>Decapus</t>
  </si>
  <si>
    <t>75 (10d10 + 20)</t>
  </si>
  <si>
    <t>TP 21</t>
  </si>
  <si>
    <t>Deer</t>
  </si>
  <si>
    <t>Demilich</t>
  </si>
  <si>
    <t>80 (20d4)</t>
  </si>
  <si>
    <t>MM 48</t>
  </si>
  <si>
    <t>Deva</t>
  </si>
  <si>
    <t>136 (16d8+64)</t>
  </si>
  <si>
    <t>MM 16</t>
  </si>
  <si>
    <t>Dire Wolf</t>
  </si>
  <si>
    <t>Displacer Beast</t>
  </si>
  <si>
    <t>MM 81</t>
  </si>
  <si>
    <t>Djinni</t>
  </si>
  <si>
    <t>161 (14d10 + 84)</t>
  </si>
  <si>
    <t>MM 144</t>
  </si>
  <si>
    <t>Doppelganger</t>
  </si>
  <si>
    <t>MM 82</t>
  </si>
  <si>
    <t>Dracolich</t>
  </si>
  <si>
    <t>VARIES Undead</t>
  </si>
  <si>
    <t>MM 84</t>
  </si>
  <si>
    <t>Draft Horse</t>
  </si>
  <si>
    <t>Dragon Turtle</t>
  </si>
  <si>
    <t>341 (22d20 + 110)</t>
  </si>
  <si>
    <t>MM 119</t>
  </si>
  <si>
    <t>Dretch</t>
  </si>
  <si>
    <t>Small Fiend</t>
  </si>
  <si>
    <t>18 (4d6+4)</t>
  </si>
  <si>
    <t>Drider</t>
  </si>
  <si>
    <t>123 (13d10 +52)</t>
  </si>
  <si>
    <t>MM 120</t>
  </si>
  <si>
    <t>Drow</t>
  </si>
  <si>
    <t>MM 128</t>
  </si>
  <si>
    <t>Drow Elite Warrior</t>
  </si>
  <si>
    <t>71 (11d8 + 22)</t>
  </si>
  <si>
    <t>Drow Mage</t>
  </si>
  <si>
    <t>45 (10d8)</t>
  </si>
  <si>
    <t>MM 129</t>
  </si>
  <si>
    <t>Drow Priestess of Lolth</t>
  </si>
  <si>
    <t>71 (13d8 + 13)</t>
  </si>
  <si>
    <t>Druid</t>
  </si>
  <si>
    <t>MM 346</t>
  </si>
  <si>
    <t>Dryad</t>
  </si>
  <si>
    <t>22 (5d8)</t>
  </si>
  <si>
    <t>MM 121</t>
  </si>
  <si>
    <t>Duergar</t>
  </si>
  <si>
    <t>26 (4d8 + 8)</t>
  </si>
  <si>
    <t>MM 122</t>
  </si>
  <si>
    <t>Duodrone</t>
  </si>
  <si>
    <t>MM 225</t>
  </si>
  <si>
    <t>Dust Mephit</t>
  </si>
  <si>
    <t>Small Elemental</t>
  </si>
  <si>
    <t>17 (5d6)</t>
  </si>
  <si>
    <t>MM 215</t>
  </si>
  <si>
    <t>Eagle</t>
  </si>
  <si>
    <t>MM 322</t>
  </si>
  <si>
    <t>Earth Elemental</t>
  </si>
  <si>
    <t>126 (12d10 + 60)</t>
  </si>
  <si>
    <t>Efreeti</t>
  </si>
  <si>
    <t>200 (16d10 + 112)</t>
  </si>
  <si>
    <t>MM 145</t>
  </si>
  <si>
    <t>Elephant</t>
  </si>
  <si>
    <t>Elk</t>
  </si>
  <si>
    <t>13 (2d10 + 2)</t>
  </si>
  <si>
    <t>Empyrean</t>
  </si>
  <si>
    <t>Huge Celestial</t>
  </si>
  <si>
    <t>313 (19d12 + 190)</t>
  </si>
  <si>
    <t>MM 130</t>
  </si>
  <si>
    <t>Erinyes</t>
  </si>
  <si>
    <t>MM 73</t>
  </si>
  <si>
    <t>Ettercap</t>
  </si>
  <si>
    <t>44 (8d8 + 8)</t>
  </si>
  <si>
    <t>MM 131</t>
  </si>
  <si>
    <t>Ettin</t>
  </si>
  <si>
    <t>large Giant</t>
  </si>
  <si>
    <t>MM 132</t>
  </si>
  <si>
    <t>Faerie Dragon</t>
  </si>
  <si>
    <t>Tiny Dragon</t>
  </si>
  <si>
    <t>14 (4d4 + 4)</t>
  </si>
  <si>
    <t>MM 133</t>
  </si>
  <si>
    <t>Fire Elemental</t>
  </si>
  <si>
    <t>large Elemental</t>
  </si>
  <si>
    <t>102 (12d10 + 36)</t>
  </si>
  <si>
    <t>MM 125</t>
  </si>
  <si>
    <t>Fire Giant</t>
  </si>
  <si>
    <t>162 (13d12 + 78)</t>
  </si>
  <si>
    <t>Fire Snake</t>
  </si>
  <si>
    <t>MM 265</t>
  </si>
  <si>
    <t>Firenewt Warlock of Imix</t>
  </si>
  <si>
    <t>Medium Humanoid (Firenewt)</t>
  </si>
  <si>
    <t>10 (13 w/ mage armor)</t>
  </si>
  <si>
    <t>VGM 143</t>
  </si>
  <si>
    <t>Firenewt Warrior</t>
  </si>
  <si>
    <t>VGM 142</t>
  </si>
  <si>
    <t>Flameskull</t>
  </si>
  <si>
    <t>40 (9d4 + 18)</t>
  </si>
  <si>
    <t>MM 134</t>
  </si>
  <si>
    <t>Flesh Golem</t>
  </si>
  <si>
    <t>93 (11d8 + 44)</t>
  </si>
  <si>
    <t>MM 169</t>
  </si>
  <si>
    <t>Flumph</t>
  </si>
  <si>
    <t>Small Aberration</t>
  </si>
  <si>
    <t>7 (2d6)</t>
  </si>
  <si>
    <t>MM 135</t>
  </si>
  <si>
    <t>Flying Snake</t>
  </si>
  <si>
    <t>Flying Sword</t>
  </si>
  <si>
    <t>Small Construct</t>
  </si>
  <si>
    <t>MM 20</t>
  </si>
  <si>
    <t>Fomorian</t>
  </si>
  <si>
    <t>149 (13d12 + 65)</t>
  </si>
  <si>
    <t>MM 136</t>
  </si>
  <si>
    <t>Frog</t>
  </si>
  <si>
    <t>Froghemoth</t>
  </si>
  <si>
    <t>Frost Giant</t>
  </si>
  <si>
    <t>138 (12d12 + 60)</t>
  </si>
  <si>
    <t>MM 155</t>
  </si>
  <si>
    <t>Galeb Duhr</t>
  </si>
  <si>
    <t>85 (9d8 + 45)</t>
  </si>
  <si>
    <t>MM 139</t>
  </si>
  <si>
    <t>Gargoyle</t>
  </si>
  <si>
    <t>52 (7d8 + 21)</t>
  </si>
  <si>
    <t>MM 140</t>
  </si>
  <si>
    <t>Gas Spore</t>
  </si>
  <si>
    <t>Large Plant</t>
  </si>
  <si>
    <t>1 (1d10 - 4)</t>
  </si>
  <si>
    <t>MM 138</t>
  </si>
  <si>
    <t>Gauth</t>
  </si>
  <si>
    <t>Medium Aberration</t>
  </si>
  <si>
    <t>Gazer</t>
  </si>
  <si>
    <t>Tiny Aberration</t>
  </si>
  <si>
    <t>Gelatinous Cube</t>
  </si>
  <si>
    <t>84 (8d10 + 40)</t>
  </si>
  <si>
    <t>MM 242</t>
  </si>
  <si>
    <t>Geonid</t>
  </si>
  <si>
    <t>17 (natural)</t>
  </si>
  <si>
    <t>26 (4d6 + 12)</t>
  </si>
  <si>
    <t>TP 22</t>
  </si>
  <si>
    <t>Ghast</t>
  </si>
  <si>
    <t>36 (8d8)</t>
  </si>
  <si>
    <t>MM 148</t>
  </si>
  <si>
    <t>Ghost</t>
  </si>
  <si>
    <t>MM 147</t>
  </si>
  <si>
    <t>Ghoul</t>
  </si>
  <si>
    <t>Giant Ape</t>
  </si>
  <si>
    <t>MM 323</t>
  </si>
  <si>
    <t>Giant Badger</t>
  </si>
  <si>
    <t>Giant Bat</t>
  </si>
  <si>
    <t>Giant Boar</t>
  </si>
  <si>
    <t>Giant Centipede</t>
  </si>
  <si>
    <t>Giant Constrictor Snake</t>
  </si>
  <si>
    <t>MM 324</t>
  </si>
  <si>
    <t>Giant Crab</t>
  </si>
  <si>
    <t>Giant Crocodile</t>
  </si>
  <si>
    <t>Giant Eagle</t>
  </si>
  <si>
    <t>Giant Elk</t>
  </si>
  <si>
    <t>42 (5d12 + 10)</t>
  </si>
  <si>
    <t>MM 325</t>
  </si>
  <si>
    <t>Giant Fire Beetle</t>
  </si>
  <si>
    <t>small Beast</t>
  </si>
  <si>
    <t>Giant Frog</t>
  </si>
  <si>
    <t>Giant Goat</t>
  </si>
  <si>
    <t>MM 326</t>
  </si>
  <si>
    <t>Giant Hyena</t>
  </si>
  <si>
    <t>Giant Lizard</t>
  </si>
  <si>
    <t>Giant Octopus</t>
  </si>
  <si>
    <t>Giant Owl</t>
  </si>
  <si>
    <t>MM 327</t>
  </si>
  <si>
    <t>Giant Poisonous Snake</t>
  </si>
  <si>
    <t>Giant Rat</t>
  </si>
  <si>
    <t>Giant Scorpion</t>
  </si>
  <si>
    <t>Giant Sea Horse</t>
  </si>
  <si>
    <t>MM 328</t>
  </si>
  <si>
    <t>Giant Shark</t>
  </si>
  <si>
    <t>Giant Spider</t>
  </si>
  <si>
    <t>Giant Strider</t>
  </si>
  <si>
    <t>22 (3d10 + 6)</t>
  </si>
  <si>
    <t>Giant Toad</t>
  </si>
  <si>
    <t>MM 329</t>
  </si>
  <si>
    <t>Giant Vulture</t>
  </si>
  <si>
    <t>Giant Wasp</t>
  </si>
  <si>
    <t>Giant Weasel</t>
  </si>
  <si>
    <t>Giant Wolf Spider</t>
  </si>
  <si>
    <t>MM 330</t>
  </si>
  <si>
    <t>Gibbering Mouther</t>
  </si>
  <si>
    <t>MM 157</t>
  </si>
  <si>
    <t>Girallon</t>
  </si>
  <si>
    <t>59 (7d10 + 21)</t>
  </si>
  <si>
    <t>VGM 152</t>
  </si>
  <si>
    <t>Githyanki Knight</t>
  </si>
  <si>
    <t>91 (14d8 +28)</t>
  </si>
  <si>
    <t>MM 160</t>
  </si>
  <si>
    <t>Githyanki Warrior</t>
  </si>
  <si>
    <t>49 (9d8 + 9)</t>
  </si>
  <si>
    <t>Githzerai Monk</t>
  </si>
  <si>
    <t>38 (7d8 + 7)</t>
  </si>
  <si>
    <t>MM 161</t>
  </si>
  <si>
    <t>Githzerai Zerth</t>
  </si>
  <si>
    <t>84 (13d8 + 26)</t>
  </si>
  <si>
    <t>Glabrezu</t>
  </si>
  <si>
    <t>157 (15d10+75)</t>
  </si>
  <si>
    <t>MM 58</t>
  </si>
  <si>
    <t>Gladiator</t>
  </si>
  <si>
    <t>112 (15d8 + 45)</t>
  </si>
  <si>
    <t>Gnoll</t>
  </si>
  <si>
    <t>MM 163</t>
  </si>
  <si>
    <t>Gnoll Fang of Yeenoghu</t>
  </si>
  <si>
    <t>Gnoll Pack Lord</t>
  </si>
  <si>
    <t>Gnome, Deep (Svirfneblin)</t>
  </si>
  <si>
    <t>Small Humanoid</t>
  </si>
  <si>
    <t>16 (3d6 + 6)</t>
  </si>
  <si>
    <t>MM 164</t>
  </si>
  <si>
    <t>Goat</t>
  </si>
  <si>
    <t>Goblin</t>
  </si>
  <si>
    <t>small Humanoid</t>
  </si>
  <si>
    <t>MM 166</t>
  </si>
  <si>
    <t>Goblin Boss</t>
  </si>
  <si>
    <t>21 (6d6)</t>
  </si>
  <si>
    <t>Gold Dragon, Adult</t>
  </si>
  <si>
    <t>MM 114</t>
  </si>
  <si>
    <t>Gold Dragon, Ancient</t>
  </si>
  <si>
    <t>546 (28d20 + 252)</t>
  </si>
  <si>
    <t>MM 113</t>
  </si>
  <si>
    <t>Gold Dragon, Wyrmling</t>
  </si>
  <si>
    <t>60 (8d8 + 24)</t>
  </si>
  <si>
    <t>MM 115</t>
  </si>
  <si>
    <t>Gold Dragon, Young</t>
  </si>
  <si>
    <t>178 (17d10 + 85)</t>
  </si>
  <si>
    <t>Gorgon</t>
  </si>
  <si>
    <t>114 (12d10 + 48)</t>
  </si>
  <si>
    <t>MM 171</t>
  </si>
  <si>
    <t>Goristro</t>
  </si>
  <si>
    <t>310 (23d12+161)</t>
  </si>
  <si>
    <t>MM 59</t>
  </si>
  <si>
    <t>Gray Ooze</t>
  </si>
  <si>
    <t>Medium Ooze</t>
  </si>
  <si>
    <t>22 (3d8 + 9)</t>
  </si>
  <si>
    <t>MM 243</t>
  </si>
  <si>
    <t>Gray Slaad</t>
  </si>
  <si>
    <t>MM 277</t>
  </si>
  <si>
    <t>Green Dragon, Adult</t>
  </si>
  <si>
    <t>MM 94</t>
  </si>
  <si>
    <t>Green Dragon, Ancient</t>
  </si>
  <si>
    <t>MM 93</t>
  </si>
  <si>
    <t>Green Dragon, Wyrmling</t>
  </si>
  <si>
    <t>MM 95</t>
  </si>
  <si>
    <t>Green Dragon, Young</t>
  </si>
  <si>
    <t>Green Hag</t>
  </si>
  <si>
    <t>82 (11d8 + 33)</t>
  </si>
  <si>
    <t>MM 177</t>
  </si>
  <si>
    <t>Green Slaad</t>
  </si>
  <si>
    <t>Large Aberration (Shapechanger)</t>
  </si>
  <si>
    <t>Grell</t>
  </si>
  <si>
    <t>55 (10d8 + 10)</t>
  </si>
  <si>
    <t>MM 172</t>
  </si>
  <si>
    <t>Grey Ooze</t>
  </si>
  <si>
    <t>Grick</t>
  </si>
  <si>
    <t>27 (6d8)</t>
  </si>
  <si>
    <t>MM 173</t>
  </si>
  <si>
    <t>Grick Alpha</t>
  </si>
  <si>
    <t>Griffon</t>
  </si>
  <si>
    <t>MM 174</t>
  </si>
  <si>
    <t>Grimlock</t>
  </si>
  <si>
    <t>MM 175</t>
  </si>
  <si>
    <t>Guard</t>
  </si>
  <si>
    <t>MM 347</t>
  </si>
  <si>
    <t>Guardian Naga</t>
  </si>
  <si>
    <t>127 (15dl0 + 45)</t>
  </si>
  <si>
    <t>MM 234</t>
  </si>
  <si>
    <t>Gynosphinx</t>
  </si>
  <si>
    <t>MM 282</t>
  </si>
  <si>
    <t>Half Ogre</t>
  </si>
  <si>
    <t>Large Giant</t>
  </si>
  <si>
    <t>30 (4d10 + 8)</t>
  </si>
  <si>
    <t>MM 238</t>
  </si>
  <si>
    <t>Half-Ogre</t>
  </si>
  <si>
    <t>Half-Red Dragon Veteran</t>
  </si>
  <si>
    <t>MM 180</t>
  </si>
  <si>
    <t>Harpy</t>
  </si>
  <si>
    <t>MM 181</t>
  </si>
  <si>
    <t>Hawk</t>
  </si>
  <si>
    <t>Hell Hound</t>
  </si>
  <si>
    <t>45 (7d8 + 14)</t>
  </si>
  <si>
    <t>MM 182</t>
  </si>
  <si>
    <t>Helmed Horror</t>
  </si>
  <si>
    <t>MM 183</t>
  </si>
  <si>
    <t>Hezrou</t>
  </si>
  <si>
    <t>136 (13d10+65)</t>
  </si>
  <si>
    <t>MM 60</t>
  </si>
  <si>
    <t>Hill Giant</t>
  </si>
  <si>
    <t>105 (10d12 + 40)</t>
  </si>
  <si>
    <t>Hippogriff</t>
  </si>
  <si>
    <t>19 (3d10 + 3)</t>
  </si>
  <si>
    <t>MM 184</t>
  </si>
  <si>
    <t>Hobgoblin</t>
  </si>
  <si>
    <t>MM 186</t>
  </si>
  <si>
    <t>Hobgoblin Captain</t>
  </si>
  <si>
    <t>Hobgoblin Warlord</t>
  </si>
  <si>
    <t>97 (13d8 + 39)</t>
  </si>
  <si>
    <t>MM 187</t>
  </si>
  <si>
    <t>Homunculus</t>
  </si>
  <si>
    <t>Tiny Construct</t>
  </si>
  <si>
    <t>5 (2d4)</t>
  </si>
  <si>
    <t>MM 188</t>
  </si>
  <si>
    <t>Hook Horror</t>
  </si>
  <si>
    <t>MM 189</t>
  </si>
  <si>
    <t>Horned Devil</t>
  </si>
  <si>
    <t>MM 74</t>
  </si>
  <si>
    <t>Hunter Shark</t>
  </si>
  <si>
    <t>Hydra</t>
  </si>
  <si>
    <t>MM 190</t>
  </si>
  <si>
    <t>Hyena</t>
  </si>
  <si>
    <t>MM 331</t>
  </si>
  <si>
    <t>Ice Devil</t>
  </si>
  <si>
    <t>MM 75</t>
  </si>
  <si>
    <t>Ice Mephit</t>
  </si>
  <si>
    <t>Imp</t>
  </si>
  <si>
    <t>Tiny Fiend (Devil)</t>
  </si>
  <si>
    <t>MM 76</t>
  </si>
  <si>
    <t>Intellect Devourer</t>
  </si>
  <si>
    <t>21 (6d4 + 6)</t>
  </si>
  <si>
    <t>MM 191</t>
  </si>
  <si>
    <t>Invisible Stalker</t>
  </si>
  <si>
    <t>104 (16d8 + 32)</t>
  </si>
  <si>
    <t>MM 192</t>
  </si>
  <si>
    <t>Iron Golem</t>
  </si>
  <si>
    <t>210 (20d10 + 100)</t>
  </si>
  <si>
    <t>MM 170</t>
  </si>
  <si>
    <t>Jackal</t>
  </si>
  <si>
    <t>Jackalwere</t>
  </si>
  <si>
    <t>18 (4d8)</t>
  </si>
  <si>
    <t>MM 193</t>
  </si>
  <si>
    <t>Kenku</t>
  </si>
  <si>
    <t>MM 194</t>
  </si>
  <si>
    <t>Killer Whale</t>
  </si>
  <si>
    <t>Knight</t>
  </si>
  <si>
    <t>52 (8d8 + 16)</t>
  </si>
  <si>
    <t>Kobold</t>
  </si>
  <si>
    <t>5 (2d6 - 2)</t>
  </si>
  <si>
    <t>MM 195</t>
  </si>
  <si>
    <t>Kraken</t>
  </si>
  <si>
    <t>Gargantuan Monstrosity (titan)</t>
  </si>
  <si>
    <t>472 (27d20 + 189)</t>
  </si>
  <si>
    <t>MM 197</t>
  </si>
  <si>
    <t>Kuo-Toa</t>
  </si>
  <si>
    <t>MM 199</t>
  </si>
  <si>
    <t>Kuo-Toa Archpriest</t>
  </si>
  <si>
    <t>MM 200</t>
  </si>
  <si>
    <t>Kuo-Toa Whip</t>
  </si>
  <si>
    <t>Lamia</t>
  </si>
  <si>
    <t>97 (13d10 + 26)</t>
  </si>
  <si>
    <t>MM 201</t>
  </si>
  <si>
    <t>Lemure</t>
  </si>
  <si>
    <t>Lich</t>
  </si>
  <si>
    <t>135 (18d8 +54)</t>
  </si>
  <si>
    <t>MM 202</t>
  </si>
  <si>
    <t>Lion</t>
  </si>
  <si>
    <t>Lizard</t>
  </si>
  <si>
    <t>MM 332</t>
  </si>
  <si>
    <t>Lizard King/Queen</t>
  </si>
  <si>
    <t>78 (l2d8 + 24)</t>
  </si>
  <si>
    <t>MM 205</t>
  </si>
  <si>
    <t>Lizardfolk</t>
  </si>
  <si>
    <t>MM 204</t>
  </si>
  <si>
    <t>Lizardfolk Shaman</t>
  </si>
  <si>
    <t>Mage</t>
  </si>
  <si>
    <t>40 (9d8)</t>
  </si>
  <si>
    <t>Magma Mephit</t>
  </si>
  <si>
    <t>22 (5d6 + 5)</t>
  </si>
  <si>
    <t>MM 216</t>
  </si>
  <si>
    <t>Magmin</t>
  </si>
  <si>
    <t>9 (2d6 + 2)</t>
  </si>
  <si>
    <t>MM 212</t>
  </si>
  <si>
    <t>Mammoth</t>
  </si>
  <si>
    <t>Manes</t>
  </si>
  <si>
    <t>9 (2d6+2)</t>
  </si>
  <si>
    <t>Mangonel</t>
  </si>
  <si>
    <t>Manticore</t>
  </si>
  <si>
    <t>68 (8d10 + 24)</t>
  </si>
  <si>
    <t>MM 213</t>
  </si>
  <si>
    <t>Marid</t>
  </si>
  <si>
    <t>229 (17d10 + 136)</t>
  </si>
  <si>
    <t>MM 146</t>
  </si>
  <si>
    <t>Marilith</t>
  </si>
  <si>
    <t>Large Fiend (Demon)</t>
  </si>
  <si>
    <t>189 (18d10+90)</t>
  </si>
  <si>
    <t>MM 61</t>
  </si>
  <si>
    <t>Mastiff</t>
  </si>
  <si>
    <t>Medusa</t>
  </si>
  <si>
    <t>127 (17d8 +51)</t>
  </si>
  <si>
    <t>MM 214</t>
  </si>
  <si>
    <t>Merfolk</t>
  </si>
  <si>
    <t>MM 218</t>
  </si>
  <si>
    <t>Merrow</t>
  </si>
  <si>
    <t>45 (6d10 + 12)</t>
  </si>
  <si>
    <t>MM 219</t>
  </si>
  <si>
    <t>Mezzoloth</t>
  </si>
  <si>
    <t>Mimic</t>
  </si>
  <si>
    <t>Medium Monstrosity (Shapechanger)</t>
  </si>
  <si>
    <t>58 (9d8 + 18)</t>
  </si>
  <si>
    <t>MM 220</t>
  </si>
  <si>
    <t>Mind Flayer Arcanist</t>
  </si>
  <si>
    <t>MM 222</t>
  </si>
  <si>
    <t>Mind Flayer</t>
  </si>
  <si>
    <t>Minotaur</t>
  </si>
  <si>
    <t>76 (9d10 + 27)</t>
  </si>
  <si>
    <t>MM 223</t>
  </si>
  <si>
    <t>Minotaur Skeleton</t>
  </si>
  <si>
    <t>67 (9d10 + 18)</t>
  </si>
  <si>
    <t>MM 273</t>
  </si>
  <si>
    <t>Monodrone</t>
  </si>
  <si>
    <t>5 (1d8 + 1)</t>
  </si>
  <si>
    <t>MM 224</t>
  </si>
  <si>
    <t>Mud Mephit</t>
  </si>
  <si>
    <t>27 (6d6 + 6)</t>
  </si>
  <si>
    <t>Mule</t>
  </si>
  <si>
    <t>MM 333</t>
  </si>
  <si>
    <t>Mummy</t>
  </si>
  <si>
    <t>MM 228</t>
  </si>
  <si>
    <t>Mummy Lord</t>
  </si>
  <si>
    <t>MM 229</t>
  </si>
  <si>
    <t>Myconid Adult</t>
  </si>
  <si>
    <t>Medium Plant</t>
  </si>
  <si>
    <t>MM 232</t>
  </si>
  <si>
    <t>Myconid Sovereign</t>
  </si>
  <si>
    <t>60 (8d10 + 16)</t>
  </si>
  <si>
    <t>Myconid Sprout</t>
  </si>
  <si>
    <t>MM 230</t>
  </si>
  <si>
    <t>Nalfeshnee</t>
  </si>
  <si>
    <t>184 (16d10+96)</t>
  </si>
  <si>
    <t>MM 62</t>
  </si>
  <si>
    <t>Needle Blight</t>
  </si>
  <si>
    <t>Madium Plant</t>
  </si>
  <si>
    <t>MM 32</t>
  </si>
  <si>
    <t>Night Hag</t>
  </si>
  <si>
    <t>MM 178</t>
  </si>
  <si>
    <t>Nightmare</t>
  </si>
  <si>
    <t>MM 235</t>
  </si>
  <si>
    <t>Noble</t>
  </si>
  <si>
    <t>MM 348</t>
  </si>
  <si>
    <t>Nothic</t>
  </si>
  <si>
    <t>45 (6d8 + 18)</t>
  </si>
  <si>
    <t>MM 236</t>
  </si>
  <si>
    <t>Nycaloth</t>
  </si>
  <si>
    <t>MM 314</t>
  </si>
  <si>
    <t>Ochre Jelly</t>
  </si>
  <si>
    <t>Octopus</t>
  </si>
  <si>
    <t>Ogre</t>
  </si>
  <si>
    <t>MM 237</t>
  </si>
  <si>
    <t>Ogre Zombie</t>
  </si>
  <si>
    <t>85 (9d10 + 36)</t>
  </si>
  <si>
    <t>Oni</t>
  </si>
  <si>
    <t>MM 239</t>
  </si>
  <si>
    <t>Orc</t>
  </si>
  <si>
    <t>Medium Humanoid (orc)</t>
  </si>
  <si>
    <t>15 (2d8 + 6)</t>
  </si>
  <si>
    <t>MM 246</t>
  </si>
  <si>
    <t>Orc Blade of Ilneval</t>
  </si>
  <si>
    <t>Medium Humanoid (Orc)</t>
  </si>
  <si>
    <t>VGM</t>
  </si>
  <si>
    <t>Orc Claw of Luthic</t>
  </si>
  <si>
    <t>Orc Eye of Gruumsh</t>
  </si>
  <si>
    <t>MM 247</t>
  </si>
  <si>
    <t>Orc Hand of Yurtrus</t>
  </si>
  <si>
    <t>Orc Nurtured One of Yurtrus</t>
  </si>
  <si>
    <t>Orc Red Fang of Shargaas</t>
  </si>
  <si>
    <t>Orc War Chief</t>
  </si>
  <si>
    <t>Orog</t>
  </si>
  <si>
    <t>42 (5d8 + 20)</t>
  </si>
  <si>
    <t>Otyugh</t>
  </si>
  <si>
    <t>MM 248</t>
  </si>
  <si>
    <t>Owl</t>
  </si>
  <si>
    <t>Owlbear</t>
  </si>
  <si>
    <t>MM 249</t>
  </si>
  <si>
    <t>Panther</t>
  </si>
  <si>
    <t>Pegasus</t>
  </si>
  <si>
    <t>Large Celestial</t>
  </si>
  <si>
    <t>MM 250</t>
  </si>
  <si>
    <t>Pentadrone</t>
  </si>
  <si>
    <t>32 (5d10 + 5)</t>
  </si>
  <si>
    <t>MM 226</t>
  </si>
  <si>
    <t>Peryton</t>
  </si>
  <si>
    <t>MM 251</t>
  </si>
  <si>
    <t>Phase Spider</t>
  </si>
  <si>
    <t>MM 334</t>
  </si>
  <si>
    <t>Piercer</t>
  </si>
  <si>
    <t>MM 252</t>
  </si>
  <si>
    <t>Pit Fiend</t>
  </si>
  <si>
    <t>MM 77</t>
  </si>
  <si>
    <t>Pixie</t>
  </si>
  <si>
    <t>Tiny Fey</t>
  </si>
  <si>
    <t>1 (1d4 - 1)</t>
  </si>
  <si>
    <t>MM 253</t>
  </si>
  <si>
    <t>Planetar</t>
  </si>
  <si>
    <t>200 (16d10+112)</t>
  </si>
  <si>
    <t>MM 17</t>
  </si>
  <si>
    <t>Plesiosaurus</t>
  </si>
  <si>
    <t>MM 80</t>
  </si>
  <si>
    <t>Poisonous Snake</t>
  </si>
  <si>
    <t>Polar Bear</t>
  </si>
  <si>
    <t>Pony</t>
  </si>
  <si>
    <t>MM 335</t>
  </si>
  <si>
    <t>Priest</t>
  </si>
  <si>
    <t>27 (5d8 +5)</t>
  </si>
  <si>
    <t>Pseudodragon</t>
  </si>
  <si>
    <t>7 (2d4 + 2)</t>
  </si>
  <si>
    <t>MM 254</t>
  </si>
  <si>
    <t>Pteranodon</t>
  </si>
  <si>
    <t>Purple Worm</t>
  </si>
  <si>
    <t>Gargantuan Monstrosity</t>
  </si>
  <si>
    <t>247 (15d20 + 90)</t>
  </si>
  <si>
    <t>MM 255</t>
  </si>
  <si>
    <t>Quadrone</t>
  </si>
  <si>
    <t>Quaggoth</t>
  </si>
  <si>
    <t>MM 256</t>
  </si>
  <si>
    <t>Quaggoth Spore Servant</t>
  </si>
  <si>
    <t>Quasit</t>
  </si>
  <si>
    <t>Tiny Fiend</t>
  </si>
  <si>
    <t>7 (3d4)</t>
  </si>
  <si>
    <t>MM 63</t>
  </si>
  <si>
    <t>Quipper</t>
  </si>
  <si>
    <t>Rakshasa</t>
  </si>
  <si>
    <t>110 (13d8 +52)</t>
  </si>
  <si>
    <t>MM 257</t>
  </si>
  <si>
    <t>Ram</t>
  </si>
  <si>
    <t>Rat</t>
  </si>
  <si>
    <t>Raven</t>
  </si>
  <si>
    <t>Red Dragon Wyrmling</t>
  </si>
  <si>
    <t>75 (10d8 +30)</t>
  </si>
  <si>
    <t>MM</t>
  </si>
  <si>
    <t>Red Dragon, Adult</t>
  </si>
  <si>
    <t>MM 98</t>
  </si>
  <si>
    <t>Red Dragon, Ancient</t>
  </si>
  <si>
    <t>MM 97</t>
  </si>
  <si>
    <t>Red Dragon, Wyrmling</t>
  </si>
  <si>
    <t>Red Dragon, Young</t>
  </si>
  <si>
    <t>Red Slaad</t>
  </si>
  <si>
    <t>Reef Shark</t>
  </si>
  <si>
    <t>MM 336</t>
  </si>
  <si>
    <t>Remorhaz</t>
  </si>
  <si>
    <t>195 (17d1 2 + 85)</t>
  </si>
  <si>
    <t>MM 258</t>
  </si>
  <si>
    <t>Revenant</t>
  </si>
  <si>
    <t>136 (16d8 + 64)</t>
  </si>
  <si>
    <t>MM 259</t>
  </si>
  <si>
    <t>Rhinoceros</t>
  </si>
  <si>
    <t>Riding Horse</t>
  </si>
  <si>
    <t>Roc</t>
  </si>
  <si>
    <t>248 (16d20 + 80)</t>
  </si>
  <si>
    <t>MM 260</t>
  </si>
  <si>
    <t>Roper</t>
  </si>
  <si>
    <t>93 (11d10 + 33)</t>
  </si>
  <si>
    <t>MM 261</t>
  </si>
  <si>
    <t>Rug of Smothering</t>
  </si>
  <si>
    <t>33 (6d10)</t>
  </si>
  <si>
    <t>Rust Monster</t>
  </si>
  <si>
    <t>Medium Monsrosity</t>
  </si>
  <si>
    <t>MM 262</t>
  </si>
  <si>
    <t>Saber-Toothed Tiger</t>
  </si>
  <si>
    <t>Sahuagin</t>
  </si>
  <si>
    <t>MM 263</t>
  </si>
  <si>
    <t>Sahuagin Baron</t>
  </si>
  <si>
    <t>Large Humanoid</t>
  </si>
  <si>
    <t>76 (9dl0 + 27)</t>
  </si>
  <si>
    <t>MM 264</t>
  </si>
  <si>
    <t>Sahuagin Priestess</t>
  </si>
  <si>
    <t>Salamander</t>
  </si>
  <si>
    <t>MM 266</t>
  </si>
  <si>
    <t>Satyr</t>
  </si>
  <si>
    <t>31 (7d8)</t>
  </si>
  <si>
    <t>MM 267</t>
  </si>
  <si>
    <t>Scarecrow</t>
  </si>
  <si>
    <t>MM 268</t>
  </si>
  <si>
    <t>Scorpion</t>
  </si>
  <si>
    <t>MM 337</t>
  </si>
  <si>
    <t>Scout</t>
  </si>
  <si>
    <t>16 (3d8 +3)</t>
  </si>
  <si>
    <t>MM 349</t>
  </si>
  <si>
    <t>Sea Hag</t>
  </si>
  <si>
    <t>MM 179</t>
  </si>
  <si>
    <t>Sea Horse</t>
  </si>
  <si>
    <t>Shadow</t>
  </si>
  <si>
    <t>16 (3d8 + 3+E211)</t>
  </si>
  <si>
    <t>MM 269</t>
  </si>
  <si>
    <t>Shadow Demon</t>
  </si>
  <si>
    <t>MM 64</t>
  </si>
  <si>
    <t>Shadow Dragon</t>
  </si>
  <si>
    <t>VARIES Dragon</t>
  </si>
  <si>
    <t>MM 85</t>
  </si>
  <si>
    <t>Shambling Mound</t>
  </si>
  <si>
    <t>136 (16d10 + 48)</t>
  </si>
  <si>
    <t>MM 270</t>
  </si>
  <si>
    <t>Shield Guardian</t>
  </si>
  <si>
    <t>MM 271</t>
  </si>
  <si>
    <t>Shrieker</t>
  </si>
  <si>
    <t>Siege Tower</t>
  </si>
  <si>
    <t>Gargantuan Object</t>
  </si>
  <si>
    <t>DMG 256</t>
  </si>
  <si>
    <t>Silver Dragon, Adult</t>
  </si>
  <si>
    <t>243 (18d12 + 126)</t>
  </si>
  <si>
    <t>MM 117</t>
  </si>
  <si>
    <t>Silver Dragon, Ancient</t>
  </si>
  <si>
    <t>487 (25d20 + 225)</t>
  </si>
  <si>
    <t>MM 116</t>
  </si>
  <si>
    <t>Silver Dragon, Wyrmling</t>
  </si>
  <si>
    <t>MM 118</t>
  </si>
  <si>
    <t>Silver Dragon, Young</t>
  </si>
  <si>
    <t>168 (16d10 + 80)</t>
  </si>
  <si>
    <t>Skeleton</t>
  </si>
  <si>
    <t>13 (2d8 + 4)</t>
  </si>
  <si>
    <t>MM 272</t>
  </si>
  <si>
    <t>Slaad Tadpole</t>
  </si>
  <si>
    <t>Smoke Mephit</t>
  </si>
  <si>
    <t>MM 217</t>
  </si>
  <si>
    <t>Solar</t>
  </si>
  <si>
    <t>243 (18d10+144)</t>
  </si>
  <si>
    <t>MM 18</t>
  </si>
  <si>
    <t>Spectator</t>
  </si>
  <si>
    <t>MM 30</t>
  </si>
  <si>
    <t>Specter</t>
  </si>
  <si>
    <t>Maedium Undead</t>
  </si>
  <si>
    <t>MM 279</t>
  </si>
  <si>
    <t>Spider</t>
  </si>
  <si>
    <t>Spined Devil</t>
  </si>
  <si>
    <t>Small Fiend (Devil)</t>
  </si>
  <si>
    <t>MM 78</t>
  </si>
  <si>
    <t>Spirit Naga</t>
  </si>
  <si>
    <t>Sprite</t>
  </si>
  <si>
    <t>MM 283</t>
  </si>
  <si>
    <t>Spy</t>
  </si>
  <si>
    <t>Steam Mephit</t>
  </si>
  <si>
    <t>Stirge</t>
  </si>
  <si>
    <t>MM 284</t>
  </si>
  <si>
    <t>Stone Giant</t>
  </si>
  <si>
    <t>126 (11d12 + 53)</t>
  </si>
  <si>
    <t>MM 156</t>
  </si>
  <si>
    <t>Stone Golem</t>
  </si>
  <si>
    <t>Storm Giant</t>
  </si>
  <si>
    <t>230 (20d12 + 100)</t>
  </si>
  <si>
    <t>Succubus/Incubus</t>
  </si>
  <si>
    <t>MM 285</t>
  </si>
  <si>
    <t>Swarm of Bats</t>
  </si>
  <si>
    <t>Swarm of Insects</t>
  </si>
  <si>
    <t>Medium Swarm</t>
  </si>
  <si>
    <t>MM 338</t>
  </si>
  <si>
    <t>Swarm of Poisonous Snakes</t>
  </si>
  <si>
    <t>Swarm of Quippers</t>
  </si>
  <si>
    <t>Swarm of Rats</t>
  </si>
  <si>
    <t>MM 339</t>
  </si>
  <si>
    <t>Swarm of Ravens</t>
  </si>
  <si>
    <t>Tanarakk</t>
  </si>
  <si>
    <t>Medium Fiend (demon, orc)</t>
  </si>
  <si>
    <t>Tarrasque</t>
  </si>
  <si>
    <t>MM 286</t>
  </si>
  <si>
    <t>Thorny</t>
  </si>
  <si>
    <t>Thri-Kreen</t>
  </si>
  <si>
    <t>MM 288</t>
  </si>
  <si>
    <t>Thug</t>
  </si>
  <si>
    <t>32 (5d8 +10)</t>
  </si>
  <si>
    <t>MM 350</t>
  </si>
  <si>
    <t>Tiger</t>
  </si>
  <si>
    <t>Treant</t>
  </si>
  <si>
    <t>MM 289</t>
  </si>
  <si>
    <t>Trebuchet</t>
  </si>
  <si>
    <t>Huge Object</t>
  </si>
  <si>
    <t>Tribal Warrior</t>
  </si>
  <si>
    <t>Triceratops</t>
  </si>
  <si>
    <t>Tridrone</t>
  </si>
  <si>
    <t>Troglodyte</t>
  </si>
  <si>
    <t>MM 290</t>
  </si>
  <si>
    <t>Troll</t>
  </si>
  <si>
    <t>MM 291</t>
  </si>
  <si>
    <t>Twig Blight</t>
  </si>
  <si>
    <t>4 (1d6+1)</t>
  </si>
  <si>
    <t>Tyrannosaurus Rex</t>
  </si>
  <si>
    <t>Ultroloth</t>
  </si>
  <si>
    <t>Umber Hulk</t>
  </si>
  <si>
    <t>MM 292</t>
  </si>
  <si>
    <t>Unicorn</t>
  </si>
  <si>
    <t>MM 294</t>
  </si>
  <si>
    <t>Vampire</t>
  </si>
  <si>
    <t>MM 297</t>
  </si>
  <si>
    <t>Vampire Spawn</t>
  </si>
  <si>
    <t>MM 298</t>
  </si>
  <si>
    <t>Vargouille</t>
  </si>
  <si>
    <t>Vegepygmy</t>
  </si>
  <si>
    <t>Vegepygmy Chief</t>
  </si>
  <si>
    <t>Veteran</t>
  </si>
  <si>
    <t>Vine Blight</t>
  </si>
  <si>
    <t>26 (4d8+8)</t>
  </si>
  <si>
    <t>Violet Fungus</t>
  </si>
  <si>
    <t>Vrock</t>
  </si>
  <si>
    <t>Vulture</t>
  </si>
  <si>
    <t>Warhorse</t>
  </si>
  <si>
    <t>MM 340</t>
  </si>
  <si>
    <t>Warhorse Skeleton</t>
  </si>
  <si>
    <t>Water Elemental</t>
  </si>
  <si>
    <t>Water Weird</t>
  </si>
  <si>
    <t>MM 299</t>
  </si>
  <si>
    <t>Weasel</t>
  </si>
  <si>
    <t>Werebear</t>
  </si>
  <si>
    <t>Medium Humanoid (human, shapechanger)</t>
  </si>
  <si>
    <t>MM 208</t>
  </si>
  <si>
    <t>Wereboar</t>
  </si>
  <si>
    <t>MM 209</t>
  </si>
  <si>
    <t>Wererat</t>
  </si>
  <si>
    <t>Weretiger</t>
  </si>
  <si>
    <t>120 (16d8 + 48)</t>
  </si>
  <si>
    <t>MM 210</t>
  </si>
  <si>
    <t>Werewolf</t>
  </si>
  <si>
    <t>MM 211</t>
  </si>
  <si>
    <t>White Dragon, Adult</t>
  </si>
  <si>
    <t>200 (16d1 2 + 96)</t>
  </si>
  <si>
    <t>MM 101</t>
  </si>
  <si>
    <t>White Dragon, Ancient</t>
  </si>
  <si>
    <t>333 (18d20 + 144)</t>
  </si>
  <si>
    <t>MM 100</t>
  </si>
  <si>
    <t>White Dragon, Wyrmling</t>
  </si>
  <si>
    <t>MM 102</t>
  </si>
  <si>
    <t>White Dragon, Young</t>
  </si>
  <si>
    <t>Wight</t>
  </si>
  <si>
    <t>MM 300</t>
  </si>
  <si>
    <t>Will-o'-Wisp</t>
  </si>
  <si>
    <t>MM 301</t>
  </si>
  <si>
    <t>Winged Kobold</t>
  </si>
  <si>
    <t>7 (3d6 - 3)</t>
  </si>
  <si>
    <t>Winter Wolf</t>
  </si>
  <si>
    <t>Wolf</t>
  </si>
  <si>
    <t>MM 341</t>
  </si>
  <si>
    <t>Worg</t>
  </si>
  <si>
    <t>Wraith</t>
  </si>
  <si>
    <t>MM 302</t>
  </si>
  <si>
    <t>Wyvern</t>
  </si>
  <si>
    <t>MM 303</t>
  </si>
  <si>
    <t>Xorn</t>
  </si>
  <si>
    <t>MM 304</t>
  </si>
  <si>
    <t>Yeti</t>
  </si>
  <si>
    <t>MM 305</t>
  </si>
  <si>
    <t>Yochlol</t>
  </si>
  <si>
    <t>MM 65</t>
  </si>
  <si>
    <t>Young Black Dragon</t>
  </si>
  <si>
    <t>127 (15d10 + 45)</t>
  </si>
  <si>
    <t>Young Red Dragon</t>
  </si>
  <si>
    <t>Young Remorhaz</t>
  </si>
  <si>
    <t>Yuan-Ti Abomination</t>
  </si>
  <si>
    <t>MM 308</t>
  </si>
  <si>
    <t>Yuan-Ti Malison</t>
  </si>
  <si>
    <t>MM 309</t>
  </si>
  <si>
    <t>Yuan-Ti Pureblood</t>
  </si>
  <si>
    <t>MM 310</t>
  </si>
  <si>
    <t>Zombie</t>
  </si>
  <si>
    <t>Formorian</t>
  </si>
  <si>
    <t>Hobgoblin Devastator</t>
  </si>
  <si>
    <t>Medium Humanoid (goblinoid)</t>
  </si>
  <si>
    <t>VGM 161</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</si>
  <si>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</si>
  <si>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</si>
  <si>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</si>
  <si>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</si>
  <si>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</si>
  <si>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</si>
  <si>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</si>
  <si>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</si>
  <si>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</si>
  <si>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</si>
  <si>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</si>
  <si>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</si>
  <si>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</si>
  <si>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</si>
  <si>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</si>
  <si>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</si>
  <si>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</si>
  <si>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</si>
  <si>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</si>
  <si>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</si>
  <si>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</si>
  <si>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</si>
  <si>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</si>
  <si>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</si>
  <si>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</si>
  <si>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</si>
  <si>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</si>
  <si>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</si>
  <si>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</si>
  <si>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</si>
  <si>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</si>
  <si>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</si>
  <si>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</si>
  <si>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</si>
  <si>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</si>
  <si>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</si>
  <si>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</si>
  <si>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</si>
  <si>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</si>
  <si>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</si>
  <si>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</si>
  <si>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</si>
  <si>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</si>
  <si>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</si>
  <si>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</si>
  <si>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</si>
  <si>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</si>
  <si>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</si>
  <si>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</si>
  <si>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</si>
  <si>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</si>
  <si>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</si>
  <si>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</si>
  <si>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</si>
  <si>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</si>
  <si>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</si>
  <si>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</si>
  <si>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</si>
  <si>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</si>
  <si>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</si>
  <si>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</si>
  <si>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</si>
  <si>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</si>
  <si>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</si>
  <si>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</si>
  <si>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</si>
  <si>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</si>
  <si>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</si>
  <si>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</si>
  <si>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</si>
  <si>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</si>
  <si>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</si>
  <si>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</si>
  <si>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</si>
  <si>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</si>
  <si>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</si>
  <si>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</si>
  <si>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</si>
  <si>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</si>
  <si>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</si>
  <si>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</si>
  <si>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</si>
  <si>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</si>
  <si>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</si>
  <si>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</si>
  <si>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</si>
  <si>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</si>
  <si>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</si>
  <si>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</si>
  <si>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</si>
  <si>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</si>
  <si>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</si>
  <si>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</si>
  <si>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</si>
  <si>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</si>
  <si>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</si>
  <si>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</si>
  <si>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</si>
  <si>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</si>
  <si>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</si>
  <si>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</si>
  <si>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</si>
  <si>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</si>
  <si>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</si>
  <si>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</si>
  <si>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</si>
  <si>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</si>
  <si>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</si>
  <si>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</si>
  <si>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</si>
  <si>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</si>
  <si>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</si>
  <si>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</si>
  <si>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</si>
  <si>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</si>
  <si>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</si>
  <si>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</si>
  <si>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</si>
  <si>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</si>
  <si>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</si>
  <si>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</si>
  <si>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</si>
  <si>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</si>
  <si>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</si>
  <si>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</si>
  <si>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</si>
  <si>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</si>
  <si>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</si>
  <si>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</si>
  <si>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</si>
  <si>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</si>
  <si>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</si>
  <si>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</si>
  <si>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</si>
  <si>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</si>
  <si>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</si>
  <si>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</si>
  <si>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</si>
  <si>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</si>
  <si>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</si>
  <si>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</si>
  <si>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</si>
  <si>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</si>
  <si>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</si>
  <si>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</si>
  <si>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</si>
  <si>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</si>
  <si>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</si>
  <si>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</si>
  <si>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</si>
  <si>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</si>
  <si>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</si>
  <si>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</si>
  <si>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</si>
  <si>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</si>
  <si>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</si>
  <si>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</si>
  <si>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</si>
  <si>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</si>
  <si>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</si>
  <si>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</si>
  <si>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</si>
  <si>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</si>
  <si>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</si>
  <si>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</si>
  <si>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</si>
  <si>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</si>
  <si>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</si>
  <si>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</si>
  <si>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</si>
  <si>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</si>
  <si>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</si>
  <si>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</si>
  <si>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</si>
  <si>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</si>
  <si>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</si>
  <si>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</si>
  <si>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</si>
  <si>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</si>
  <si>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</si>
  <si>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</si>
  <si>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</si>
  <si>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</si>
  <si>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</si>
  <si>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</si>
  <si>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</si>
  <si>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</si>
  <si>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</si>
  <si>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</si>
  <si>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</si>
  <si>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</si>
  <si>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</si>
  <si>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</si>
  <si>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</si>
  <si>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</si>
  <si>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</si>
  <si>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</si>
  <si>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</si>
  <si>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</si>
  <si>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</si>
  <si>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</si>
  <si>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</si>
  <si>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</si>
  <si>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</si>
  <si>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</si>
  <si>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</si>
  <si>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</si>
  <si>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</si>
  <si>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</si>
  <si>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</si>
  <si>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</si>
  <si>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</si>
  <si>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</si>
  <si>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</si>
  <si>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</si>
  <si>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</si>
  <si>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</si>
  <si>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</si>
  <si>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</si>
  <si>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</si>
  <si>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</si>
  <si>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</si>
  <si>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</si>
  <si>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</si>
  <si>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</si>
  <si>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</si>
  <si>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</si>
  <si>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</si>
  <si>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</si>
  <si>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</si>
  <si>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</si>
  <si>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</si>
  <si>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</si>
  <si>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</si>
  <si>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</si>
  <si>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</si>
  <si>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</si>
  <si>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</si>
  <si>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</si>
  <si>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</si>
  <si>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</si>
  <si>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</si>
  <si>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</si>
  <si>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</si>
  <si>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</si>
  <si>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</si>
  <si>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</si>
  <si>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</si>
  <si>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</si>
  <si>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</si>
  <si>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</si>
  <si>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</si>
  <si>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</si>
  <si>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</si>
  <si>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</si>
  <si>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</si>
  <si>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UA_Eladrin</t>
  </si>
  <si>
    <t>UA_Githyanki</t>
  </si>
  <si>
    <t>UA_Githzerai</t>
  </si>
  <si>
    <t>UA_Warforged</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</si>
  <si>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</si>
  <si>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</si>
  <si>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</si>
  <si>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</si>
  <si>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</si>
  <si>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</si>
  <si>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</si>
  <si>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</si>
  <si>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</si>
  <si>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</si>
  <si>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UA_Changeling</t>
  </si>
  <si>
    <t>UA_Beasthide Shifter</t>
  </si>
  <si>
    <t>UA_Cliffwalk Shifter</t>
  </si>
  <si>
    <t>UA_Longstride Shifter</t>
  </si>
  <si>
    <t>UA_Longtooth Shifter</t>
  </si>
  <si>
    <t>UA_Razorclaw Shifter</t>
  </si>
  <si>
    <t>UA_Wildhunt Shifter</t>
  </si>
  <si>
    <t>UA_Minotaur (Krynn)</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</si>
  <si>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</si>
  <si>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</si>
  <si>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</si>
  <si>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</si>
  <si>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</si>
  <si>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</si>
  <si>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</si>
  <si>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</si>
  <si>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</si>
  <si>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</si>
  <si>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</si>
  <si>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</si>
  <si>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</si>
  <si>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</si>
  <si>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</si>
  <si>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</si>
  <si>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</si>
  <si>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</si>
  <si>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</si>
  <si>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</si>
  <si>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</si>
  <si>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</si>
  <si>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</si>
  <si>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</si>
  <si>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You are immune to disease. You do not need to eat or breathe, but you can ingest food and drink if you wish.</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</si>
  <si>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</si>
  <si>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</si>
  <si>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</si>
  <si>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</si>
  <si>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</si>
  <si>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</si>
  <si>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</si>
  <si>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</si>
  <si>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</si>
  <si>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</si>
  <si>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</si>
  <si>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</si>
  <si>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</si>
  <si>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</si>
  <si>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</si>
  <si>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</si>
  <si>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</si>
  <si>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</si>
  <si>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</si>
  <si>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</si>
  <si>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</si>
  <si>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</si>
  <si>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</si>
  <si>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</si>
  <si>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</si>
  <si>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</si>
  <si>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</si>
  <si>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</si>
  <si>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</si>
  <si>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</si>
  <si>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Lighting:</t>
  </si>
  <si>
    <t>Environment:</t>
  </si>
  <si>
    <t>Terrain:</t>
  </si>
  <si>
    <t>Extreme Cold Temperature &lt; 10°F</t>
  </si>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</sst>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General\ &quot;lbs&quot;"/>
  </numFmts>
  <fonts count="24"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9"/>
      <color theme="1"/>
      <name val="Calibri"/>
      <family val="2"/>
      <scheme val="minor"/>
    </font>
    <font>
      <sz val="5"/>
      <color theme="1"/>
      <name val="Calibri"/>
      <family val="2"/>
      <scheme val="minor"/>
    </font>
    <font>
      <b/>
      <sz val="10"/>
      <color rgb="FF5A362F"/>
      <name val="Calibri"/>
      <family val="2"/>
      <scheme val="minor"/>
    </font>
    <font>
      <sz val="7"/>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theme="6" tint="0.39994506668294322"/>
        <bgColor indexed="64"/>
      </patternFill>
    </fill>
    <fill>
      <patternFill patternType="solid">
        <fgColor rgb="FFD9BBB5"/>
        <bgColor theme="6"/>
      </patternFill>
    </fill>
    <fill>
      <patternFill patternType="solid">
        <fgColor rgb="FFD9BBB5"/>
        <bgColor indexed="64"/>
      </patternFill>
    </fill>
  </fills>
  <borders count="132">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medium">
        <color rgb="FF5A362F"/>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thin">
        <color rgb="FFE4DCDE"/>
      </left>
      <right/>
      <top style="thin">
        <color rgb="FFE4DCDE"/>
      </top>
      <bottom style="thin">
        <color rgb="FFE4DCDE"/>
      </bottom>
      <diagonal/>
    </border>
    <border>
      <left style="thin">
        <color rgb="FFE4DCDE"/>
      </left>
      <right/>
      <top style="thin">
        <color rgb="FFE4DCDE"/>
      </top>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right style="thin">
        <color auto="1"/>
      </right>
      <top/>
      <bottom/>
      <diagonal/>
    </border>
    <border>
      <left/>
      <right style="medium">
        <color rgb="FF5A362F"/>
      </right>
      <top style="medium">
        <color auto="1"/>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s>
  <cellStyleXfs count="2">
    <xf numFmtId="0" fontId="0" fillId="0" borderId="0"/>
    <xf numFmtId="0" fontId="1" fillId="0" borderId="1" applyNumberFormat="0" applyFill="0" applyAlignment="0" applyProtection="0"/>
  </cellStyleXfs>
  <cellXfs count="337">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9" fillId="3" borderId="40" xfId="0" applyFont="1" applyFill="1" applyBorder="1"/>
    <xf numFmtId="0" fontId="19" fillId="3" borderId="40" xfId="0" applyFont="1" applyFill="1" applyBorder="1" applyAlignment="1"/>
    <xf numFmtId="0" fontId="6" fillId="3" borderId="56" xfId="0" applyFont="1" applyFill="1" applyBorder="1" applyAlignment="1">
      <alignment horizontal="center"/>
    </xf>
    <xf numFmtId="0" fontId="0" fillId="3" borderId="0" xfId="0" applyFill="1" applyBorder="1" applyAlignment="1">
      <alignment vertical="center"/>
    </xf>
    <xf numFmtId="0" fontId="0" fillId="3" borderId="0" xfId="0" applyFill="1" applyBorder="1" applyAlignment="1">
      <alignment horizontal="left" vertical="center"/>
    </xf>
    <xf numFmtId="0" fontId="6" fillId="3" borderId="3" xfId="0" applyFont="1" applyFill="1" applyBorder="1"/>
    <xf numFmtId="0" fontId="7" fillId="6" borderId="0" xfId="0" applyFont="1" applyFill="1" applyBorder="1" applyAlignment="1" applyProtection="1">
      <alignment vertical="center"/>
    </xf>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71" xfId="0" applyFont="1" applyFill="1" applyBorder="1" applyAlignment="1">
      <alignment horizontal="center"/>
    </xf>
    <xf numFmtId="0" fontId="6" fillId="3" borderId="72" xfId="0" applyFont="1" applyFill="1" applyBorder="1" applyAlignment="1">
      <alignment horizontal="center"/>
    </xf>
    <xf numFmtId="0" fontId="6" fillId="3" borderId="73" xfId="0" applyFont="1" applyFill="1" applyBorder="1" applyAlignment="1">
      <alignment horizontal="center"/>
    </xf>
    <xf numFmtId="0" fontId="6" fillId="3" borderId="29" xfId="0" applyFont="1" applyFill="1" applyBorder="1" applyAlignment="1">
      <alignment horizontal="center"/>
    </xf>
    <xf numFmtId="0" fontId="6" fillId="3" borderId="76" xfId="0" applyFont="1" applyFill="1" applyBorder="1" applyAlignment="1">
      <alignment horizontal="center"/>
    </xf>
    <xf numFmtId="0" fontId="6" fillId="3" borderId="77" xfId="0" applyFont="1" applyFill="1" applyBorder="1" applyAlignment="1">
      <alignment horizontal="center"/>
    </xf>
    <xf numFmtId="0" fontId="0" fillId="3" borderId="79" xfId="0" applyFill="1" applyBorder="1" applyAlignment="1">
      <alignment horizontal="center"/>
    </xf>
    <xf numFmtId="0" fontId="0" fillId="3" borderId="80" xfId="0" applyFill="1" applyBorder="1" applyAlignment="1">
      <alignment horizontal="center"/>
    </xf>
    <xf numFmtId="0" fontId="0" fillId="3" borderId="81" xfId="0" applyFill="1" applyBorder="1" applyAlignment="1">
      <alignment horizontal="center"/>
    </xf>
    <xf numFmtId="0" fontId="0" fillId="3" borderId="82" xfId="0" applyFill="1" applyBorder="1" applyAlignment="1">
      <alignment horizontal="center"/>
    </xf>
    <xf numFmtId="12" fontId="0" fillId="3" borderId="81" xfId="0" applyNumberFormat="1" applyFill="1" applyBorder="1" applyAlignment="1">
      <alignment horizontal="center" vertical="center"/>
    </xf>
    <xf numFmtId="12" fontId="6" fillId="3" borderId="72" xfId="0" applyNumberFormat="1" applyFont="1" applyFill="1" applyBorder="1" applyAlignment="1">
      <alignment horizontal="center" vertical="center"/>
    </xf>
    <xf numFmtId="12" fontId="6" fillId="3" borderId="76" xfId="0" applyNumberFormat="1" applyFont="1" applyFill="1" applyBorder="1" applyAlignment="1">
      <alignment horizontal="center" vertical="center"/>
    </xf>
    <xf numFmtId="0" fontId="20" fillId="3" borderId="70" xfId="0" applyFont="1" applyFill="1" applyBorder="1" applyAlignment="1">
      <alignment horizontal="center"/>
    </xf>
    <xf numFmtId="0" fontId="20" fillId="3" borderId="75" xfId="0" applyFont="1" applyFill="1" applyBorder="1" applyAlignment="1">
      <alignment horizontal="center"/>
    </xf>
    <xf numFmtId="0" fontId="6" fillId="3" borderId="56" xfId="0" applyFont="1" applyFill="1" applyBorder="1" applyAlignment="1">
      <alignment horizontal="center" vertical="top" textRotation="180" wrapText="1"/>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12" fillId="3" borderId="91" xfId="0" applyNumberFormat="1" applyFont="1" applyFill="1" applyBorder="1" applyAlignment="1">
      <alignment horizontal="center"/>
    </xf>
    <xf numFmtId="0" fontId="12" fillId="3" borderId="92" xfId="0" applyNumberFormat="1" applyFont="1" applyFill="1" applyBorder="1" applyAlignment="1">
      <alignment horizontal="center"/>
    </xf>
    <xf numFmtId="0" fontId="12" fillId="3" borderId="93" xfId="0" applyNumberFormat="1" applyFont="1" applyFill="1" applyBorder="1" applyAlignment="1">
      <alignment horizontal="center"/>
    </xf>
    <xf numFmtId="0" fontId="6" fillId="3" borderId="62" xfId="0" applyFont="1" applyFill="1" applyBorder="1" applyAlignment="1">
      <alignment horizontal="center"/>
    </xf>
    <xf numFmtId="0" fontId="12" fillId="3" borderId="97" xfId="0" applyNumberFormat="1" applyFont="1" applyFill="1" applyBorder="1" applyAlignment="1">
      <alignment horizontal="center"/>
    </xf>
    <xf numFmtId="0" fontId="12" fillId="3" borderId="98" xfId="0" applyNumberFormat="1" applyFont="1" applyFill="1" applyBorder="1" applyAlignment="1">
      <alignment horizontal="center"/>
    </xf>
    <xf numFmtId="0" fontId="12" fillId="3" borderId="99" xfId="0" applyNumberFormat="1" applyFont="1" applyFill="1" applyBorder="1" applyAlignment="1">
      <alignment horizontal="center"/>
    </xf>
    <xf numFmtId="0" fontId="6" fillId="7" borderId="0" xfId="0" applyFont="1" applyFill="1"/>
    <xf numFmtId="0" fontId="6" fillId="7" borderId="84" xfId="0" applyFont="1" applyFill="1" applyBorder="1"/>
    <xf numFmtId="0" fontId="6" fillId="7" borderId="0" xfId="0" applyFont="1" applyFill="1" applyBorder="1"/>
    <xf numFmtId="0" fontId="6" fillId="7" borderId="20" xfId="0" applyFont="1" applyFill="1" applyBorder="1"/>
    <xf numFmtId="0" fontId="6" fillId="7" borderId="23" xfId="0" applyFont="1" applyFill="1" applyBorder="1"/>
    <xf numFmtId="0" fontId="6" fillId="7" borderId="0" xfId="0" applyFont="1" applyFill="1" applyAlignment="1">
      <alignment vertical="top"/>
    </xf>
    <xf numFmtId="0" fontId="6" fillId="7" borderId="40" xfId="0" applyFont="1" applyFill="1" applyBorder="1"/>
    <xf numFmtId="0" fontId="6" fillId="3" borderId="32" xfId="0" applyFont="1" applyFill="1" applyBorder="1" applyAlignment="1">
      <alignment horizontal="left" vertical="top"/>
    </xf>
    <xf numFmtId="0" fontId="6" fillId="3" borderId="32" xfId="0" applyFont="1" applyFill="1" applyBorder="1"/>
    <xf numFmtId="0" fontId="6" fillId="3" borderId="100" xfId="0" applyFont="1" applyFill="1" applyBorder="1"/>
    <xf numFmtId="0" fontId="6" fillId="3" borderId="94" xfId="0" applyFont="1" applyFill="1" applyBorder="1"/>
    <xf numFmtId="0" fontId="6" fillId="3" borderId="101" xfId="0" applyFont="1" applyFill="1" applyBorder="1"/>
    <xf numFmtId="0" fontId="6" fillId="3" borderId="103" xfId="0" applyFont="1" applyFill="1" applyBorder="1"/>
    <xf numFmtId="0" fontId="6" fillId="3" borderId="50" xfId="0" applyFont="1" applyFill="1" applyBorder="1"/>
    <xf numFmtId="0" fontId="6" fillId="3" borderId="104" xfId="0" applyFont="1" applyFill="1" applyBorder="1"/>
    <xf numFmtId="0" fontId="6" fillId="3" borderId="106" xfId="0" applyFont="1" applyFill="1" applyBorder="1"/>
    <xf numFmtId="0" fontId="6" fillId="3" borderId="107" xfId="0" applyFont="1" applyFill="1" applyBorder="1"/>
    <xf numFmtId="0" fontId="20" fillId="3" borderId="109" xfId="0" applyFont="1" applyFill="1" applyBorder="1" applyAlignment="1">
      <alignment horizontal="center"/>
    </xf>
    <xf numFmtId="0" fontId="6" fillId="3" borderId="110" xfId="0" applyFont="1" applyFill="1" applyBorder="1" applyAlignment="1">
      <alignment horizontal="center"/>
    </xf>
    <xf numFmtId="0" fontId="6" fillId="3" borderId="111" xfId="0" applyFont="1" applyFill="1" applyBorder="1" applyAlignment="1">
      <alignment horizontal="center"/>
    </xf>
    <xf numFmtId="12" fontId="6" fillId="3" borderId="111" xfId="0" applyNumberFormat="1" applyFont="1" applyFill="1" applyBorder="1" applyAlignment="1">
      <alignment horizontal="center" vertical="center"/>
    </xf>
    <xf numFmtId="0" fontId="6" fillId="3" borderId="112" xfId="0" applyFont="1" applyFill="1" applyBorder="1" applyAlignment="1">
      <alignment horizontal="center"/>
    </xf>
    <xf numFmtId="0" fontId="20" fillId="3" borderId="114" xfId="0" applyFont="1" applyFill="1" applyBorder="1" applyAlignment="1">
      <alignment horizontal="center"/>
    </xf>
    <xf numFmtId="0" fontId="6" fillId="3" borderId="115" xfId="0" applyFont="1" applyFill="1" applyBorder="1" applyAlignment="1">
      <alignment horizontal="center"/>
    </xf>
    <xf numFmtId="0" fontId="6" fillId="3" borderId="116" xfId="0" applyFont="1" applyFill="1" applyBorder="1" applyAlignment="1">
      <alignment horizontal="center"/>
    </xf>
    <xf numFmtId="12" fontId="6" fillId="3" borderId="116" xfId="0" applyNumberFormat="1" applyFont="1" applyFill="1" applyBorder="1" applyAlignment="1">
      <alignment horizontal="center" vertical="center"/>
    </xf>
    <xf numFmtId="0" fontId="6" fillId="3" borderId="117" xfId="0" applyFont="1" applyFill="1" applyBorder="1" applyAlignment="1">
      <alignment horizontal="center"/>
    </xf>
    <xf numFmtId="0" fontId="20" fillId="3" borderId="119" xfId="0" applyFont="1" applyFill="1" applyBorder="1" applyAlignment="1">
      <alignment horizontal="center"/>
    </xf>
    <xf numFmtId="0" fontId="6" fillId="3" borderId="33" xfId="0" applyFont="1" applyFill="1" applyBorder="1" applyAlignment="1">
      <alignment horizontal="center"/>
    </xf>
    <xf numFmtId="0" fontId="6" fillId="3" borderId="120" xfId="0" applyFont="1" applyFill="1" applyBorder="1" applyAlignment="1">
      <alignment horizontal="center"/>
    </xf>
    <xf numFmtId="12" fontId="6" fillId="3" borderId="120" xfId="0" applyNumberFormat="1" applyFont="1" applyFill="1" applyBorder="1" applyAlignment="1">
      <alignment horizontal="center" vertical="center"/>
    </xf>
    <xf numFmtId="0" fontId="6" fillId="3" borderId="121" xfId="0" applyFont="1" applyFill="1" applyBorder="1" applyAlignment="1">
      <alignment horizontal="center"/>
    </xf>
    <xf numFmtId="0" fontId="20" fillId="3" borderId="123" xfId="0" applyFont="1" applyFill="1" applyBorder="1" applyAlignment="1">
      <alignment horizontal="center"/>
    </xf>
    <xf numFmtId="0" fontId="6" fillId="3" borderId="124" xfId="0" applyFont="1" applyFill="1" applyBorder="1" applyAlignment="1">
      <alignment horizontal="center"/>
    </xf>
    <xf numFmtId="0" fontId="6" fillId="3" borderId="125" xfId="0" applyFont="1" applyFill="1" applyBorder="1" applyAlignment="1">
      <alignment horizontal="center"/>
    </xf>
    <xf numFmtId="12" fontId="6" fillId="3" borderId="125" xfId="0" applyNumberFormat="1" applyFont="1" applyFill="1" applyBorder="1" applyAlignment="1">
      <alignment horizontal="center" vertical="center"/>
    </xf>
    <xf numFmtId="0" fontId="6" fillId="3" borderId="126" xfId="0" applyFont="1" applyFill="1" applyBorder="1" applyAlignment="1">
      <alignment horizontal="center"/>
    </xf>
    <xf numFmtId="0" fontId="0" fillId="7" borderId="0" xfId="0" applyFill="1" applyAlignment="1">
      <alignment horizontal="center"/>
    </xf>
    <xf numFmtId="12" fontId="0" fillId="7" borderId="0" xfId="0" applyNumberFormat="1" applyFill="1" applyAlignment="1">
      <alignment horizontal="center" vertical="center"/>
    </xf>
    <xf numFmtId="0" fontId="0" fillId="7" borderId="0" xfId="0" applyFill="1" applyBorder="1" applyAlignment="1">
      <alignment horizontal="center"/>
    </xf>
    <xf numFmtId="0" fontId="0" fillId="7" borderId="20" xfId="0" applyFill="1" applyBorder="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8" xfId="0" applyFill="1" applyBorder="1"/>
    <xf numFmtId="0" fontId="0" fillId="3" borderId="0" xfId="0" applyFill="1" applyBorder="1"/>
    <xf numFmtId="0" fontId="0" fillId="3" borderId="127" xfId="0" applyFill="1" applyBorder="1"/>
    <xf numFmtId="0" fontId="17" fillId="3" borderId="127" xfId="0" applyFont="1" applyFill="1" applyBorder="1" applyAlignment="1">
      <alignment vertical="center"/>
    </xf>
    <xf numFmtId="0" fontId="7" fillId="6" borderId="129" xfId="0" applyFont="1" applyFill="1" applyBorder="1" applyAlignment="1" applyProtection="1">
      <alignment vertical="center"/>
    </xf>
    <xf numFmtId="0" fontId="6" fillId="3" borderId="130" xfId="0" applyFont="1" applyFill="1" applyBorder="1"/>
    <xf numFmtId="0" fontId="6" fillId="3" borderId="84" xfId="0" applyFont="1" applyFill="1" applyBorder="1"/>
    <xf numFmtId="0" fontId="6" fillId="3" borderId="65" xfId="0" applyFont="1" applyFill="1" applyBorder="1"/>
    <xf numFmtId="0" fontId="6" fillId="3" borderId="131" xfId="0" applyFont="1" applyFill="1" applyBorder="1"/>
    <xf numFmtId="0" fontId="6" fillId="3" borderId="68" xfId="0" applyFont="1" applyFill="1" applyBorder="1"/>
    <xf numFmtId="0" fontId="6" fillId="3" borderId="4" xfId="0" applyFont="1" applyFill="1" applyBorder="1"/>
    <xf numFmtId="0" fontId="6" fillId="3" borderId="2" xfId="0" applyFont="1" applyFill="1" applyBorder="1"/>
    <xf numFmtId="0" fontId="0" fillId="3" borderId="130" xfId="0" applyFill="1" applyBorder="1"/>
    <xf numFmtId="0" fontId="0" fillId="3" borderId="84" xfId="0" applyFill="1" applyBorder="1"/>
    <xf numFmtId="0" fontId="0" fillId="3" borderId="65" xfId="0" applyFill="1" applyBorder="1"/>
    <xf numFmtId="0" fontId="0" fillId="3" borderId="2" xfId="0" applyFill="1" applyBorder="1"/>
    <xf numFmtId="0" fontId="0" fillId="3" borderId="131" xfId="0" applyFill="1" applyBorder="1"/>
    <xf numFmtId="0" fontId="0" fillId="8" borderId="0" xfId="0" applyFill="1" applyBorder="1"/>
    <xf numFmtId="0" fontId="0" fillId="8" borderId="3" xfId="0" applyFill="1" applyBorder="1"/>
    <xf numFmtId="0" fontId="0" fillId="3" borderId="63"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4" xfId="0" applyFill="1" applyBorder="1" applyAlignment="1">
      <alignment horizontal="right" vertical="center"/>
    </xf>
    <xf numFmtId="0" fontId="0" fillId="7" borderId="0" xfId="0" applyFill="1" applyAlignment="1">
      <alignment horizontal="right" vertical="center"/>
    </xf>
    <xf numFmtId="0" fontId="0" fillId="3" borderId="78" xfId="0" applyFill="1" applyBorder="1" applyAlignment="1">
      <alignment horizontal="right" vertical="center"/>
    </xf>
    <xf numFmtId="0" fontId="6" fillId="3" borderId="130" xfId="0" applyFont="1" applyFill="1" applyBorder="1" applyAlignment="1"/>
    <xf numFmtId="0" fontId="6" fillId="3" borderId="84" xfId="0" applyFont="1" applyFill="1" applyBorder="1" applyAlignment="1"/>
    <xf numFmtId="0" fontId="6" fillId="3" borderId="65" xfId="0" applyFont="1" applyFill="1" applyBorder="1" applyAlignment="1"/>
    <xf numFmtId="0" fontId="20" fillId="3" borderId="69" xfId="0" applyFont="1" applyFill="1" applyBorder="1" applyAlignment="1">
      <alignment horizontal="right" vertical="center"/>
    </xf>
    <xf numFmtId="0" fontId="6" fillId="3" borderId="4" xfId="0" applyFont="1" applyFill="1" applyBorder="1" applyAlignment="1"/>
    <xf numFmtId="0" fontId="6" fillId="3" borderId="0" xfId="0" applyFont="1" applyFill="1" applyBorder="1" applyAlignment="1"/>
    <xf numFmtId="0" fontId="6" fillId="3" borderId="2" xfId="0" applyFont="1" applyFill="1" applyBorder="1" applyAlignment="1"/>
    <xf numFmtId="0" fontId="20" fillId="3" borderId="74" xfId="0" applyFont="1" applyFill="1" applyBorder="1" applyAlignment="1">
      <alignment horizontal="right" vertical="center"/>
    </xf>
    <xf numFmtId="0" fontId="20" fillId="3" borderId="108" xfId="0" applyFont="1" applyFill="1" applyBorder="1" applyAlignment="1">
      <alignment horizontal="right" vertical="center"/>
    </xf>
    <xf numFmtId="0" fontId="20" fillId="3" borderId="118" xfId="0" applyFont="1" applyFill="1" applyBorder="1" applyAlignment="1">
      <alignment horizontal="right" vertical="center"/>
    </xf>
    <xf numFmtId="0" fontId="20" fillId="3" borderId="122" xfId="0" applyFont="1" applyFill="1" applyBorder="1" applyAlignment="1">
      <alignment horizontal="right" vertical="center"/>
    </xf>
    <xf numFmtId="0" fontId="20" fillId="3" borderId="113" xfId="0" applyFont="1" applyFill="1" applyBorder="1" applyAlignment="1">
      <alignment horizontal="right" vertical="center"/>
    </xf>
    <xf numFmtId="0" fontId="6" fillId="3" borderId="131" xfId="0" applyFont="1" applyFill="1" applyBorder="1" applyAlignment="1"/>
    <xf numFmtId="0" fontId="6" fillId="3" borderId="3" xfId="0" applyFont="1" applyFill="1" applyBorder="1" applyAlignment="1"/>
    <xf numFmtId="0" fontId="6" fillId="3" borderId="68" xfId="0" applyFont="1" applyFill="1" applyBorder="1" applyAlignment="1"/>
    <xf numFmtId="0" fontId="0" fillId="3" borderId="80" xfId="0" applyFill="1" applyBorder="1" applyAlignment="1">
      <alignment horizontal="left"/>
    </xf>
    <xf numFmtId="0" fontId="16" fillId="3" borderId="130" xfId="0" applyFont="1" applyFill="1" applyBorder="1" applyAlignment="1">
      <alignment wrapText="1"/>
    </xf>
    <xf numFmtId="0" fontId="16" fillId="3" borderId="84" xfId="0" applyFont="1" applyFill="1" applyBorder="1" applyAlignment="1">
      <alignment wrapText="1"/>
    </xf>
    <xf numFmtId="0" fontId="16" fillId="3" borderId="4" xfId="0" applyFont="1" applyFill="1" applyBorder="1" applyAlignment="1">
      <alignment wrapText="1"/>
    </xf>
    <xf numFmtId="0" fontId="16" fillId="3" borderId="0" xfId="0" applyFont="1" applyFill="1" applyBorder="1" applyAlignment="1">
      <alignment wrapText="1"/>
    </xf>
    <xf numFmtId="0" fontId="16" fillId="3" borderId="131" xfId="0" applyFont="1" applyFill="1" applyBorder="1" applyAlignment="1">
      <alignment wrapText="1"/>
    </xf>
    <xf numFmtId="0" fontId="16" fillId="3" borderId="3" xfId="0" applyFont="1" applyFill="1" applyBorder="1" applyAlignment="1">
      <alignment wrapText="1"/>
    </xf>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8" fillId="9" borderId="0" xfId="0" applyFont="1" applyFill="1" applyBorder="1" applyAlignment="1" applyProtection="1">
      <alignment horizontal="right" vertical="center"/>
    </xf>
    <xf numFmtId="0" fontId="8" fillId="9" borderId="2" xfId="0" applyFont="1" applyFill="1" applyBorder="1" applyAlignment="1" applyProtection="1">
      <alignment horizontal="right" vertical="center"/>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9" fillId="10" borderId="7" xfId="0" applyFont="1" applyFill="1" applyBorder="1" applyAlignment="1">
      <alignment horizontal="center" vertical="center"/>
    </xf>
    <xf numFmtId="0" fontId="9" fillId="10" borderId="8" xfId="0" applyFont="1" applyFill="1" applyBorder="1" applyAlignment="1">
      <alignment horizontal="center"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4" xfId="0" applyFont="1" applyFill="1" applyBorder="1" applyAlignment="1">
      <alignment horizontal="center" vertical="center"/>
    </xf>
    <xf numFmtId="0" fontId="20" fillId="3" borderId="7" xfId="0" applyFont="1" applyFill="1" applyBorder="1" applyAlignment="1">
      <alignment horizontal="center" vertical="center"/>
    </xf>
    <xf numFmtId="0" fontId="20" fillId="3" borderId="8" xfId="0" applyFont="1" applyFill="1" applyBorder="1" applyAlignment="1">
      <alignment horizontal="center" vertical="center"/>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0" xfId="0" applyFont="1" applyFill="1" applyBorder="1" applyAlignment="1">
      <alignment horizont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18" fillId="3" borderId="21" xfId="0" applyFont="1" applyFill="1" applyBorder="1" applyAlignment="1">
      <alignment horizontal="left" vertical="center" wrapText="1"/>
    </xf>
    <xf numFmtId="0" fontId="18" fillId="3" borderId="8" xfId="0" applyFont="1" applyFill="1" applyBorder="1" applyAlignment="1">
      <alignment horizontal="left" vertical="center" wrapText="1"/>
    </xf>
    <xf numFmtId="0" fontId="8" fillId="6" borderId="0" xfId="0" applyFont="1" applyFill="1" applyBorder="1" applyAlignment="1" applyProtection="1">
      <alignment horizontal="center" vertical="center" wrapText="1"/>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0" fontId="9"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12" fillId="3" borderId="14" xfId="0" applyFont="1" applyFill="1" applyBorder="1" applyAlignment="1">
      <alignment horizontal="center" vertical="center"/>
    </xf>
    <xf numFmtId="0" fontId="13" fillId="3" borderId="14" xfId="0" applyFont="1" applyFill="1" applyBorder="1" applyAlignment="1">
      <alignment horizontal="center" vertical="center" wrapText="1"/>
    </xf>
    <xf numFmtId="0" fontId="13" fillId="3" borderId="14" xfId="0" applyFont="1" applyFill="1" applyBorder="1" applyAlignment="1">
      <alignment horizontal="left" vertical="center" wrapText="1"/>
    </xf>
    <xf numFmtId="0" fontId="9" fillId="10" borderId="14" xfId="0" applyFont="1" applyFill="1" applyBorder="1" applyAlignment="1">
      <alignment horizontal="center" vertical="center"/>
    </xf>
    <xf numFmtId="164" fontId="9" fillId="3" borderId="14" xfId="0" applyNumberFormat="1" applyFont="1" applyFill="1" applyBorder="1" applyAlignment="1">
      <alignment horizontal="center" vertical="center"/>
    </xf>
    <xf numFmtId="0" fontId="13" fillId="3" borderId="10"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20" xfId="0" applyFont="1" applyFill="1" applyBorder="1" applyAlignment="1">
      <alignment horizontal="left" vertical="center" wrapText="1"/>
    </xf>
    <xf numFmtId="0" fontId="7" fillId="6" borderId="129" xfId="0" applyFont="1" applyFill="1" applyBorder="1" applyAlignment="1" applyProtection="1">
      <alignment horizontal="right" vertical="center"/>
    </xf>
    <xf numFmtId="0" fontId="7" fillId="6" borderId="128" xfId="0" applyFont="1" applyFill="1" applyBorder="1" applyAlignment="1" applyProtection="1">
      <alignment horizontal="right" vertical="center"/>
    </xf>
    <xf numFmtId="0" fontId="15" fillId="3" borderId="129" xfId="0" applyFont="1" applyFill="1" applyBorder="1" applyAlignment="1">
      <alignment horizontal="left" vertical="center"/>
    </xf>
    <xf numFmtId="0" fontId="21" fillId="3" borderId="0" xfId="0" applyFont="1" applyFill="1" applyBorder="1" applyAlignment="1">
      <alignment horizontal="right" vertical="center"/>
    </xf>
    <xf numFmtId="0" fontId="18" fillId="3" borderId="22" xfId="0" applyFont="1" applyFill="1" applyBorder="1" applyAlignment="1">
      <alignment horizontal="left" vertical="center" wrapText="1"/>
    </xf>
    <xf numFmtId="0" fontId="18" fillId="3" borderId="10" xfId="0" applyFont="1" applyFill="1" applyBorder="1" applyAlignment="1">
      <alignment horizontal="left" vertical="center" wrapText="1"/>
    </xf>
    <xf numFmtId="0" fontId="9" fillId="3" borderId="19" xfId="0" applyFont="1" applyFill="1" applyBorder="1" applyAlignment="1">
      <alignment horizontal="center" vertical="center"/>
    </xf>
    <xf numFmtId="0" fontId="12" fillId="3" borderId="15"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6" fillId="3" borderId="14" xfId="0" applyFont="1" applyFill="1" applyBorder="1" applyAlignment="1">
      <alignment horizontal="right" vertical="center" wrapText="1"/>
    </xf>
    <xf numFmtId="0" fontId="0" fillId="3" borderId="66" xfId="0" applyFill="1" applyBorder="1" applyAlignment="1">
      <alignment horizontal="center"/>
    </xf>
    <xf numFmtId="0" fontId="0" fillId="3" borderId="65" xfId="0" applyFill="1" applyBorder="1" applyAlignment="1">
      <alignment horizontal="center"/>
    </xf>
    <xf numFmtId="0" fontId="0" fillId="3" borderId="67" xfId="0" applyFill="1" applyBorder="1" applyAlignment="1">
      <alignment horizontal="center"/>
    </xf>
    <xf numFmtId="0" fontId="0" fillId="3" borderId="68" xfId="0" applyFill="1" applyBorder="1" applyAlignment="1">
      <alignment horizontal="center"/>
    </xf>
    <xf numFmtId="9" fontId="21" fillId="5" borderId="28" xfId="0" quotePrefix="1" applyNumberFormat="1" applyFont="1" applyFill="1" applyBorder="1" applyAlignment="1">
      <alignment horizontal="center"/>
    </xf>
    <xf numFmtId="9" fontId="21" fillId="5" borderId="31" xfId="0" quotePrefix="1" applyNumberFormat="1" applyFont="1" applyFill="1" applyBorder="1" applyAlignment="1">
      <alignment horizontal="center"/>
    </xf>
    <xf numFmtId="9" fontId="21" fillId="5" borderId="32" xfId="0" quotePrefix="1" applyNumberFormat="1" applyFont="1" applyFill="1" applyBorder="1" applyAlignment="1">
      <alignment horizontal="center"/>
    </xf>
    <xf numFmtId="9" fontId="21" fillId="5" borderId="35" xfId="0" quotePrefix="1" applyNumberFormat="1" applyFont="1" applyFill="1" applyBorder="1" applyAlignment="1">
      <alignment horizontal="center"/>
    </xf>
    <xf numFmtId="0" fontId="19" fillId="3" borderId="45" xfId="0" applyFont="1" applyFill="1" applyBorder="1" applyAlignment="1">
      <alignment horizontal="center"/>
    </xf>
    <xf numFmtId="0" fontId="19" fillId="3" borderId="40" xfId="0" applyFont="1" applyFill="1" applyBorder="1" applyAlignment="1">
      <alignment horizontal="center"/>
    </xf>
    <xf numFmtId="0" fontId="19" fillId="3" borderId="43" xfId="0" applyFont="1" applyFill="1" applyBorder="1" applyAlignment="1">
      <alignment horizontal="center"/>
    </xf>
    <xf numFmtId="1" fontId="21" fillId="5" borderId="60" xfId="0" quotePrefix="1" applyNumberFormat="1" applyFont="1" applyFill="1" applyBorder="1" applyAlignment="1">
      <alignment horizontal="center"/>
    </xf>
    <xf numFmtId="1" fontId="21" fillId="5" borderId="62" xfId="0" quotePrefix="1" applyNumberFormat="1" applyFont="1" applyFill="1" applyBorder="1" applyAlignment="1">
      <alignment horizontal="center"/>
    </xf>
    <xf numFmtId="16" fontId="6" fillId="3" borderId="52"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16" fontId="6" fillId="3" borderId="43" xfId="0" quotePrefix="1" applyNumberFormat="1" applyFont="1" applyFill="1" applyBorder="1" applyAlignment="1">
      <alignment horizontal="center"/>
    </xf>
    <xf numFmtId="9" fontId="21" fillId="5" borderId="50" xfId="0" quotePrefix="1" applyNumberFormat="1" applyFont="1" applyFill="1" applyBorder="1" applyAlignment="1">
      <alignment horizontal="center"/>
    </xf>
    <xf numFmtId="9" fontId="21" fillId="5" borderId="51" xfId="0" quotePrefix="1" applyNumberFormat="1" applyFont="1" applyFill="1" applyBorder="1" applyAlignment="1">
      <alignment horizontal="center"/>
    </xf>
    <xf numFmtId="0" fontId="19" fillId="3" borderId="39" xfId="0" applyFont="1" applyFill="1" applyBorder="1" applyAlignment="1">
      <alignment horizontal="center"/>
    </xf>
    <xf numFmtId="1" fontId="21" fillId="5" borderId="58" xfId="0" quotePrefix="1" applyNumberFormat="1" applyFont="1" applyFill="1" applyBorder="1" applyAlignment="1">
      <alignment horizontal="center"/>
    </xf>
    <xf numFmtId="0" fontId="6" fillId="3" borderId="37" xfId="0" applyFont="1" applyFill="1" applyBorder="1" applyAlignment="1">
      <alignment horizontal="center"/>
    </xf>
    <xf numFmtId="0" fontId="6" fillId="3" borderId="28" xfId="0" applyFont="1" applyFill="1" applyBorder="1" applyAlignment="1">
      <alignment horizontal="center"/>
    </xf>
    <xf numFmtId="0" fontId="6" fillId="3" borderId="55" xfId="0" applyFont="1" applyFill="1" applyBorder="1" applyAlignment="1">
      <alignment horizontal="center"/>
    </xf>
    <xf numFmtId="0" fontId="6" fillId="3" borderId="47" xfId="0" applyFont="1" applyFill="1" applyBorder="1" applyAlignment="1">
      <alignment horizontal="center"/>
    </xf>
    <xf numFmtId="1" fontId="21" fillId="5" borderId="59" xfId="0" quotePrefix="1" applyNumberFormat="1" applyFont="1" applyFill="1" applyBorder="1" applyAlignment="1">
      <alignment horizontal="center"/>
    </xf>
    <xf numFmtId="1" fontId="21" fillId="5" borderId="60" xfId="0" applyNumberFormat="1" applyFont="1" applyFill="1" applyBorder="1" applyAlignment="1">
      <alignment horizontal="center"/>
    </xf>
    <xf numFmtId="0" fontId="6" fillId="3" borderId="54" xfId="0" applyFont="1" applyFill="1" applyBorder="1" applyAlignment="1">
      <alignment horizontal="center"/>
    </xf>
    <xf numFmtId="0" fontId="6" fillId="3" borderId="46"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0" fontId="6" fillId="3" borderId="38" xfId="0" applyFont="1" applyFill="1" applyBorder="1" applyAlignment="1">
      <alignment horizontal="center"/>
    </xf>
    <xf numFmtId="0" fontId="6" fillId="3" borderId="32" xfId="0" applyFont="1" applyFill="1" applyBorder="1" applyAlignment="1">
      <alignment horizontal="center"/>
    </xf>
    <xf numFmtId="0" fontId="6" fillId="3" borderId="56" xfId="0" applyFont="1" applyFill="1" applyBorder="1" applyAlignment="1">
      <alignment horizontal="center"/>
    </xf>
    <xf numFmtId="0" fontId="6" fillId="3" borderId="48" xfId="0" applyFont="1" applyFill="1" applyBorder="1" applyAlignment="1">
      <alignment horizontal="center"/>
    </xf>
    <xf numFmtId="1" fontId="21" fillId="5" borderId="61" xfId="0" quotePrefix="1" applyNumberFormat="1" applyFont="1" applyFill="1" applyBorder="1" applyAlignment="1">
      <alignment horizontal="center"/>
    </xf>
    <xf numFmtId="1" fontId="21" fillId="5" borderId="62" xfId="0" applyNumberFormat="1" applyFont="1" applyFill="1" applyBorder="1" applyAlignment="1">
      <alignment horizontal="center"/>
    </xf>
    <xf numFmtId="0" fontId="6" fillId="3" borderId="39" xfId="0" applyFont="1" applyFill="1" applyBorder="1" applyAlignment="1">
      <alignment horizontal="center"/>
    </xf>
    <xf numFmtId="0" fontId="6" fillId="3" borderId="40"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1" fontId="21" fillId="5" borderId="57" xfId="0" quotePrefix="1" applyNumberFormat="1" applyFont="1" applyFill="1" applyBorder="1" applyAlignment="1">
      <alignment horizontal="center"/>
    </xf>
    <xf numFmtId="1" fontId="21" fillId="5" borderId="58" xfId="0" applyNumberFormat="1" applyFont="1" applyFill="1" applyBorder="1" applyAlignment="1">
      <alignment horizontal="center"/>
    </xf>
    <xf numFmtId="0" fontId="6" fillId="3" borderId="40" xfId="0" quotePrefix="1" applyNumberFormat="1" applyFont="1" applyFill="1" applyBorder="1" applyAlignment="1">
      <alignment horizontal="center"/>
    </xf>
    <xf numFmtId="0" fontId="6" fillId="3" borderId="40" xfId="0" applyNumberFormat="1" applyFont="1" applyFill="1" applyBorder="1" applyAlignment="1">
      <alignment horizontal="center"/>
    </xf>
    <xf numFmtId="0" fontId="6" fillId="3" borderId="53" xfId="0" applyNumberFormat="1" applyFont="1" applyFill="1" applyBorder="1" applyAlignment="1">
      <alignment horizontal="center"/>
    </xf>
    <xf numFmtId="16" fontId="6" fillId="3" borderId="53" xfId="0" quotePrefix="1" applyNumberFormat="1" applyFont="1" applyFill="1" applyBorder="1" applyAlignment="1">
      <alignment horizontal="center"/>
    </xf>
    <xf numFmtId="0" fontId="6" fillId="3" borderId="52" xfId="0" quotePrefix="1" applyFont="1" applyFill="1" applyBorder="1" applyAlignment="1">
      <alignment horizontal="center"/>
    </xf>
    <xf numFmtId="0" fontId="6" fillId="3" borderId="40" xfId="0" quotePrefix="1" applyFont="1" applyFill="1" applyBorder="1" applyAlignment="1">
      <alignment horizontal="center"/>
    </xf>
    <xf numFmtId="0" fontId="6" fillId="3" borderId="39" xfId="0" applyFont="1" applyFill="1" applyBorder="1" applyAlignment="1">
      <alignment horizontal="right"/>
    </xf>
    <xf numFmtId="0" fontId="6" fillId="3" borderId="40" xfId="0" applyFont="1" applyFill="1" applyBorder="1" applyAlignment="1">
      <alignment horizontal="right"/>
    </xf>
    <xf numFmtId="0" fontId="6" fillId="3" borderId="44" xfId="0" applyFont="1" applyFill="1" applyBorder="1" applyAlignment="1">
      <alignment horizontal="right"/>
    </xf>
    <xf numFmtId="1" fontId="6" fillId="3" borderId="45" xfId="0" applyNumberFormat="1" applyFont="1" applyFill="1" applyBorder="1" applyAlignment="1">
      <alignment horizontal="center"/>
    </xf>
    <xf numFmtId="0" fontId="6" fillId="3" borderId="43" xfId="0" applyFont="1" applyFill="1" applyBorder="1" applyAlignment="1">
      <alignment horizontal="center"/>
    </xf>
    <xf numFmtId="0" fontId="6" fillId="3" borderId="45" xfId="0" applyFont="1" applyFill="1" applyBorder="1" applyAlignment="1">
      <alignment horizontal="center"/>
    </xf>
    <xf numFmtId="0" fontId="6" fillId="3" borderId="100" xfId="0" applyFont="1" applyFill="1" applyBorder="1" applyAlignment="1">
      <alignment horizontal="center" vertical="top"/>
    </xf>
    <xf numFmtId="0" fontId="6" fillId="3" borderId="94" xfId="0" applyFont="1" applyFill="1" applyBorder="1" applyAlignment="1">
      <alignment horizontal="center" vertical="top"/>
    </xf>
    <xf numFmtId="0" fontId="6" fillId="3" borderId="101" xfId="0" applyFont="1" applyFill="1" applyBorder="1" applyAlignment="1">
      <alignment horizontal="center" vertical="top"/>
    </xf>
    <xf numFmtId="0" fontId="19" fillId="3" borderId="67" xfId="0" applyFont="1" applyFill="1" applyBorder="1" applyAlignment="1">
      <alignment horizontal="center"/>
    </xf>
    <xf numFmtId="0" fontId="19" fillId="3" borderId="3" xfId="0" applyFont="1" applyFill="1" applyBorder="1" applyAlignment="1">
      <alignment horizontal="center"/>
    </xf>
    <xf numFmtId="0" fontId="19" fillId="3" borderId="102" xfId="0" applyFont="1" applyFill="1" applyBorder="1" applyAlignment="1">
      <alignment horizontal="center"/>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41" xfId="0" applyFont="1" applyFill="1" applyBorder="1" applyAlignment="1">
      <alignment horizontal="center" vertical="top" wrapText="1"/>
    </xf>
    <xf numFmtId="0" fontId="6" fillId="3" borderId="42" xfId="0" applyFont="1" applyFill="1" applyBorder="1" applyAlignment="1">
      <alignment horizontal="center" vertical="top" wrapText="1"/>
    </xf>
    <xf numFmtId="0" fontId="6" fillId="3" borderId="43" xfId="0" applyFont="1" applyFill="1" applyBorder="1" applyAlignment="1">
      <alignment horizontal="center" vertical="top" wrapText="1"/>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6" fillId="3" borderId="33" xfId="0" applyFont="1" applyFill="1" applyBorder="1" applyAlignment="1">
      <alignment horizontal="center" vertical="top"/>
    </xf>
    <xf numFmtId="0" fontId="6" fillId="3" borderId="34" xfId="0" applyFont="1" applyFill="1" applyBorder="1" applyAlignment="1">
      <alignment horizontal="center" vertical="top"/>
    </xf>
    <xf numFmtId="0" fontId="6" fillId="3" borderId="35" xfId="0" applyFont="1" applyFill="1" applyBorder="1" applyAlignment="1">
      <alignment horizontal="center" vertical="top"/>
    </xf>
    <xf numFmtId="0" fontId="19" fillId="3" borderId="0" xfId="0" applyFont="1" applyFill="1" applyBorder="1" applyAlignment="1">
      <alignment horizontal="center"/>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wrapText="1"/>
    </xf>
    <xf numFmtId="0" fontId="6" fillId="3" borderId="26" xfId="0" applyFont="1" applyFill="1" applyBorder="1" applyAlignment="1">
      <alignment horizontal="center" vertical="top" wrapText="1"/>
    </xf>
    <xf numFmtId="0" fontId="6" fillId="3" borderId="27" xfId="0" applyFont="1" applyFill="1" applyBorder="1" applyAlignment="1">
      <alignment horizontal="center" vertical="top" wrapText="1"/>
    </xf>
    <xf numFmtId="0" fontId="6" fillId="3" borderId="31" xfId="0" applyFont="1" applyFill="1" applyBorder="1" applyAlignment="1">
      <alignment horizontal="center"/>
    </xf>
    <xf numFmtId="0" fontId="6" fillId="3" borderId="35" xfId="0" applyFont="1" applyFill="1" applyBorder="1" applyAlignment="1">
      <alignment horizontal="center"/>
    </xf>
    <xf numFmtId="0" fontId="6" fillId="3" borderId="37" xfId="0" applyFont="1" applyFill="1" applyBorder="1" applyAlignment="1">
      <alignment horizontal="left" vertical="center" wrapText="1"/>
    </xf>
    <xf numFmtId="0" fontId="6" fillId="3" borderId="28" xfId="0" applyFont="1" applyFill="1" applyBorder="1" applyAlignment="1">
      <alignment horizontal="left" vertical="center" wrapText="1"/>
    </xf>
    <xf numFmtId="0" fontId="6" fillId="3" borderId="38" xfId="0" applyFont="1" applyFill="1" applyBorder="1" applyAlignment="1">
      <alignment horizontal="left" vertical="center" wrapText="1"/>
    </xf>
    <xf numFmtId="0" fontId="6" fillId="3" borderId="32" xfId="0" applyFont="1" applyFill="1" applyBorder="1" applyAlignment="1">
      <alignment horizontal="left" vertical="center" wrapText="1"/>
    </xf>
    <xf numFmtId="0" fontId="6" fillId="3" borderId="32" xfId="0" applyFont="1" applyFill="1" applyBorder="1" applyAlignment="1">
      <alignment horizontal="left" vertical="top"/>
    </xf>
    <xf numFmtId="0" fontId="6" fillId="3" borderId="36" xfId="0" applyFont="1" applyFill="1" applyBorder="1" applyAlignment="1">
      <alignment horizontal="center"/>
    </xf>
    <xf numFmtId="0" fontId="6" fillId="3" borderId="27" xfId="0" applyFont="1" applyFill="1" applyBorder="1" applyAlignment="1">
      <alignment horizontal="center"/>
    </xf>
    <xf numFmtId="0" fontId="6" fillId="3" borderId="36"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32" xfId="0" applyFont="1" applyFill="1" applyBorder="1" applyAlignment="1">
      <alignment horizontal="left"/>
    </xf>
    <xf numFmtId="0" fontId="6" fillId="3" borderId="56" xfId="0" applyFont="1" applyFill="1" applyBorder="1" applyAlignment="1">
      <alignment horizontal="center" vertical="top" wrapText="1"/>
    </xf>
    <xf numFmtId="0" fontId="6" fillId="3" borderId="83" xfId="0" applyFont="1" applyFill="1" applyBorder="1" applyAlignment="1">
      <alignment horizontal="center" vertical="top" wrapText="1"/>
    </xf>
    <xf numFmtId="2" fontId="12" fillId="3" borderId="39" xfId="0" applyNumberFormat="1" applyFont="1" applyFill="1" applyBorder="1" applyAlignment="1">
      <alignment horizontal="center"/>
    </xf>
    <xf numFmtId="2" fontId="12" fillId="3" borderId="95" xfId="0" applyNumberFormat="1" applyFont="1" applyFill="1" applyBorder="1" applyAlignment="1">
      <alignment horizontal="center"/>
    </xf>
    <xf numFmtId="2" fontId="12" fillId="3" borderId="96" xfId="0" applyNumberFormat="1" applyFont="1" applyFill="1" applyBorder="1" applyAlignment="1">
      <alignment horizontal="center"/>
    </xf>
    <xf numFmtId="0" fontId="6" fillId="3" borderId="105" xfId="0" applyFont="1" applyFill="1" applyBorder="1" applyAlignment="1">
      <alignment horizontal="center"/>
    </xf>
    <xf numFmtId="0" fontId="6" fillId="3" borderId="83" xfId="0" applyFont="1" applyFill="1" applyBorder="1" applyAlignment="1">
      <alignment horizontal="left"/>
    </xf>
    <xf numFmtId="2" fontId="12" fillId="3" borderId="43" xfId="0" applyNumberFormat="1" applyFont="1" applyFill="1" applyBorder="1" applyAlignment="1">
      <alignment horizontal="center"/>
    </xf>
    <xf numFmtId="0" fontId="6" fillId="3" borderId="35" xfId="0" applyFont="1" applyFill="1" applyBorder="1" applyAlignment="1">
      <alignment horizontal="left"/>
    </xf>
    <xf numFmtId="9" fontId="21" fillId="5" borderId="55" xfId="0" quotePrefix="1" applyNumberFormat="1" applyFont="1" applyFill="1" applyBorder="1" applyAlignment="1">
      <alignment horizontal="center"/>
    </xf>
    <xf numFmtId="0" fontId="6" fillId="3" borderId="3" xfId="0" applyFont="1" applyFill="1" applyBorder="1" applyAlignment="1">
      <alignment horizontal="left"/>
    </xf>
    <xf numFmtId="0" fontId="6" fillId="3" borderId="40" xfId="0" applyFont="1" applyFill="1" applyBorder="1" applyAlignment="1">
      <alignment horizontal="left"/>
    </xf>
    <xf numFmtId="0" fontId="6" fillId="3" borderId="43" xfId="0" applyFont="1" applyFill="1" applyBorder="1" applyAlignment="1">
      <alignment horizontal="left"/>
    </xf>
    <xf numFmtId="2" fontId="6" fillId="3" borderId="40" xfId="0" applyNumberFormat="1" applyFont="1" applyFill="1" applyBorder="1" applyAlignment="1">
      <alignment horizontal="left"/>
    </xf>
    <xf numFmtId="9" fontId="21" fillId="5" borderId="56" xfId="0" quotePrefix="1" applyNumberFormat="1" applyFont="1" applyFill="1" applyBorder="1" applyAlignment="1">
      <alignment horizontal="center"/>
    </xf>
    <xf numFmtId="0" fontId="19" fillId="3" borderId="44" xfId="0" applyFont="1" applyFill="1" applyBorder="1" applyAlignment="1">
      <alignment horizontal="center"/>
    </xf>
    <xf numFmtId="16" fontId="6" fillId="3" borderId="44" xfId="0" quotePrefix="1" applyNumberFormat="1" applyFont="1" applyFill="1" applyBorder="1" applyAlignment="1">
      <alignment horizontal="center"/>
    </xf>
    <xf numFmtId="9" fontId="21" fillId="5" borderId="54" xfId="0" quotePrefix="1" applyNumberFormat="1" applyFont="1" applyFill="1" applyBorder="1" applyAlignment="1">
      <alignment horizontal="center"/>
    </xf>
    <xf numFmtId="9" fontId="21" fillId="5" borderId="24" xfId="0" quotePrefix="1" applyNumberFormat="1" applyFont="1" applyFill="1" applyBorder="1" applyAlignment="1">
      <alignment horizontal="center"/>
    </xf>
    <xf numFmtId="9" fontId="21" fillId="5" borderId="27" xfId="0" quotePrefix="1" applyNumberFormat="1" applyFont="1" applyFill="1" applyBorder="1" applyAlignment="1">
      <alignment horizontal="center"/>
    </xf>
  </cellXfs>
  <cellStyles count="2">
    <cellStyle name="Heading 1" xfId="1" builtinId="16"/>
    <cellStyle name="Normal" xfId="0" builtinId="0"/>
  </cellStyles>
  <dxfs count="212">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5" formatCode="#\ ???/???"/>
    </dxf>
    <dxf>
      <numFmt numFmtId="165" formatCode="#\ ???/???"/>
    </dxf>
    <dxf>
      <numFmt numFmtId="165" formatCode="#\ ???/???"/>
    </dxf>
    <dxf>
      <numFmt numFmtId="165"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tint="-4.9989318521683403E-2"/>
      </font>
      <fill>
        <patternFill>
          <bgColor theme="0" tint="-4.9989318521683403E-2"/>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211"/>
      <tableStyleElement type="firstRowStripe" dxfId="210"/>
      <tableStyleElement type="secondRowStripe" dxfId="209"/>
    </tableStyle>
  </tableStyles>
  <colors>
    <mruColors>
      <color rgb="FF5A362F"/>
      <color rgb="FFD9BBB5"/>
      <color rgb="FFF3D3AF"/>
      <color rgb="FFF8696B"/>
      <color rgb="FFFFEB84"/>
      <color rgb="FF47CFFF"/>
      <color rgb="FF808080"/>
      <color rgb="FFDED4D6"/>
      <color rgb="FFF3EFF0"/>
      <color rgb="FFEBE5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Drop" dropLines="7" dropStyle="combo" dx="22" fmlaRange="'Aux Lists'!$L$5:$L$12" sel="8"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61</xdr:row>
          <xdr:rowOff>123825</xdr:rowOff>
        </xdr:from>
        <xdr:to>
          <xdr:col>3</xdr:col>
          <xdr:colOff>57150</xdr:colOff>
          <xdr:row>63</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61</xdr:row>
          <xdr:rowOff>123825</xdr:rowOff>
        </xdr:from>
        <xdr:to>
          <xdr:col>7</xdr:col>
          <xdr:colOff>19050</xdr:colOff>
          <xdr:row>63</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9525</xdr:rowOff>
        </xdr:from>
        <xdr:to>
          <xdr:col>3</xdr:col>
          <xdr:colOff>0</xdr:colOff>
          <xdr:row>9</xdr:row>
          <xdr:rowOff>142875</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95250</xdr:rowOff>
        </xdr:from>
        <xdr:to>
          <xdr:col>3</xdr:col>
          <xdr:colOff>28575</xdr:colOff>
          <xdr:row>34</xdr:row>
          <xdr:rowOff>85725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18</xdr:row>
          <xdr:rowOff>9525</xdr:rowOff>
        </xdr:from>
        <xdr:to>
          <xdr:col>2</xdr:col>
          <xdr:colOff>114300</xdr:colOff>
          <xdr:row>19</xdr:row>
          <xdr:rowOff>152400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62</xdr:row>
          <xdr:rowOff>19050</xdr:rowOff>
        </xdr:from>
        <xdr:to>
          <xdr:col>8</xdr:col>
          <xdr:colOff>142875</xdr:colOff>
          <xdr:row>62</xdr:row>
          <xdr:rowOff>133350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8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174685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3</xdr:row>
      <xdr:rowOff>28575</xdr:rowOff>
    </xdr:from>
    <xdr:to>
      <xdr:col>32</xdr:col>
      <xdr:colOff>161925</xdr:colOff>
      <xdr:row>27</xdr:row>
      <xdr:rowOff>171450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134100" y="619125"/>
          <a:ext cx="4133850" cy="47434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5</xdr:col>
          <xdr:colOff>0</xdr:colOff>
          <xdr:row>3</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186417</xdr:colOff>
      <xdr:row>3</xdr:row>
      <xdr:rowOff>22626</xdr:rowOff>
    </xdr:from>
    <xdr:to>
      <xdr:col>28</xdr:col>
      <xdr:colOff>19050</xdr:colOff>
      <xdr:row>5</xdr:row>
      <xdr:rowOff>11143</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94126"/>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500-00000824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600-00001530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600-00001630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600-00001730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600-000018300000}"/>
                </a:ext>
              </a:extLst>
            </xdr:cNvPr>
            <xdr:cNvSpPr/>
          </xdr:nvSpPr>
          <xdr:spPr bwMode="auto">
            <a:xfrm>
              <a:off x="0" y="0"/>
              <a:ext cx="0" cy="0"/>
            </a:xfrm>
            <a:prstGeom prst="rect">
              <a:avLst/>
            </a:prstGeom>
            <a:noFill/>
            <a:ln w="9525">
              <a:miter lim="800000"/>
              <a:headEnd/>
              <a:tailEnd/>
            </a:ln>
          </xdr:spPr>
          <xdr:txBody>
            <a:bodyPr vertOverflow="clip" wrap="square" lIns="118872" tIns="118872" rIns="118872" bIns="11887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208" dataDxfId="207">
  <autoFilter ref="A2:A4" xr:uid="{E90255FE-C5B2-4955-94C9-43F0175CCB2A}"/>
  <tableColumns count="1">
    <tableColumn id="1" xr3:uid="{FBBB4D54-69B4-4E09-BD12-426D66FA75AC}" name="YesNo" dataDxfId="20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05" dataDxfId="204">
  <autoFilter ref="C2:G22" xr:uid="{72F33039-7C46-4527-8149-1EDB50A60EAF}"/>
  <tableColumns count="5">
    <tableColumn id="1" xr3:uid="{E365C552-7B42-4DBA-99A7-580025D7EA4F}" name="Level" dataDxfId="203"/>
    <tableColumn id="2" xr3:uid="{5F5506E2-24E3-427D-B65B-3EFB4A112308}" name="Easy" dataDxfId="202"/>
    <tableColumn id="3" xr3:uid="{F537FC80-C1D3-4F19-9BCE-6C42DA4FD390}" name="Medium" dataDxfId="201"/>
    <tableColumn id="4" xr3:uid="{6F49142D-B66E-4E43-B4F0-D7FFEAF0A22A}" name="Hard" dataDxfId="200"/>
    <tableColumn id="5" xr3:uid="{E246355C-27F7-4C33-819B-2364F3F2ED55}" name="Deadly" dataDxfId="199"/>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198" dataDxfId="197">
  <autoFilter ref="L2:L74" xr:uid="{057B5FF3-E802-4FA0-A72B-05FAE4BD9315}"/>
  <tableColumns count="1">
    <tableColumn id="1" xr3:uid="{371D75F0-20DC-4008-BE43-4256F86CDF4E}" name="Numbers" dataDxfId="196"/>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195" dataDxfId="194">
  <autoFilter ref="I2:J8" xr:uid="{18520973-B9B3-487B-B98A-CE1601D71187}"/>
  <tableColumns count="2">
    <tableColumn id="1" xr3:uid="{4F1B3352-4DF7-4117-AE15-B3693E9F5D5C}" name="Enemies" dataDxfId="193"/>
    <tableColumn id="2" xr3:uid="{45BB741E-5CCE-4723-BE60-B33051546ABE}" name="Multiplier" dataDxfId="192"/>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191" dataDxfId="190">
  <autoFilter ref="N2:R22" xr:uid="{0DF9175A-EEF0-4EDB-BF44-06C7FDDD80DA}"/>
  <tableColumns count="5">
    <tableColumn id="1" xr3:uid="{2694EFC8-314E-4C42-8D97-6FA43F40DABB}" name="Character Level" dataDxfId="189"/>
    <tableColumn id="2" xr3:uid="{3F22F40C-3E32-4A08-8AA6-1616DB5894A7}" name="Easy" dataDxfId="188"/>
    <tableColumn id="3" xr3:uid="{BB75E6F4-ADF1-43B4-8ADD-94B96DB81139}" name="Medium" dataDxfId="187"/>
    <tableColumn id="4" xr3:uid="{52D57BA0-6134-4BE4-AF3E-6A2B6CFC72CF}" name="Hard" dataDxfId="186"/>
    <tableColumn id="5" xr3:uid="{9162B3D7-651D-4D52-8436-E9B3C047274E}" name="Deadly" dataDxfId="18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1" totalsRowShown="0" headerRowDxfId="184" dataDxfId="183">
  <autoFilter ref="T2:U31" xr:uid="{6CB6BC79-4D57-4AE6-A9D1-BB87E98B040D}"/>
  <tableColumns count="2">
    <tableColumn id="1" xr3:uid="{C6520A6A-FC06-46D5-9B21-1D305D1FEFD9}" name="CR" dataDxfId="182"/>
    <tableColumn id="2" xr3:uid="{4BC05FB2-C1DA-421F-B91B-3BAD2D3EF66E}" name="EXP" dataDxfId="181"/>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180" dataDxfId="179">
  <autoFilter ref="W2:AT22" xr:uid="{8ED0D3D4-B9B7-4B22-B393-DC91AD37AA7A}"/>
  <tableColumns count="24">
    <tableColumn id="24" xr3:uid="{63B3B8A4-F45A-44C2-AE73-509938235CCF}" name="Level" dataDxfId="178"/>
    <tableColumn id="1" xr3:uid="{C379E507-621B-4DE2-AE74-5C04C0CD527F}" name="1/8" dataDxfId="177"/>
    <tableColumn id="2" xr3:uid="{853D7A54-85AA-45D5-A0A9-BF27CD2BD092}" name="1/4" dataDxfId="176"/>
    <tableColumn id="3" xr3:uid="{252DBA2F-CBF6-45C8-8CFD-0FB51A236C53}" name="1/2" dataDxfId="175"/>
    <tableColumn id="4" xr3:uid="{365360DB-C50E-48E5-81B0-69086416B937}" name="1" dataDxfId="174"/>
    <tableColumn id="5" xr3:uid="{A6F270A7-DB07-4D50-BC34-7A220E67C356}" name="2" dataDxfId="173"/>
    <tableColumn id="6" xr3:uid="{F2936BA8-8C4A-4815-BDA4-298E21325137}" name="3" dataDxfId="172"/>
    <tableColumn id="7" xr3:uid="{6B505DD1-6952-412D-80A4-65CE34A57FEC}" name="4" dataDxfId="171"/>
    <tableColumn id="8" xr3:uid="{2BCBD52F-8CF3-428F-813F-B2D44670D85A}" name="5" dataDxfId="170"/>
    <tableColumn id="9" xr3:uid="{43015C8B-28E9-46D8-8723-A57F43317C6A}" name="6" dataDxfId="169"/>
    <tableColumn id="10" xr3:uid="{25A1E0A6-51CC-47C5-96D2-89F82032396C}" name="7" dataDxfId="168"/>
    <tableColumn id="11" xr3:uid="{E14AA59A-AADE-49E0-A4D3-9FE89AC737F7}" name="8" dataDxfId="167"/>
    <tableColumn id="12" xr3:uid="{149D7A8F-5AA1-42C9-92B0-DF58B1172766}" name="9" dataDxfId="166"/>
    <tableColumn id="13" xr3:uid="{EF0CF369-26FF-44BD-A454-0582C75EE289}" name="10" dataDxfId="165"/>
    <tableColumn id="14" xr3:uid="{65F621DE-8474-423E-A2F1-71F3AD231B74}" name="11" dataDxfId="164"/>
    <tableColumn id="15" xr3:uid="{BA4D2784-23B0-4E6D-A94B-3345B25C1140}" name="12" dataDxfId="163"/>
    <tableColumn id="16" xr3:uid="{3145F9F7-A6B1-4F1D-9B08-9981F766753D}" name="13" dataDxfId="162"/>
    <tableColumn id="17" xr3:uid="{76D6CC81-9ED7-4D42-9F89-39C80B270FBF}" name="14" dataDxfId="161"/>
    <tableColumn id="18" xr3:uid="{0AC570F6-3F37-4319-8855-CC6DD6D4A64B}" name="15" dataDxfId="160"/>
    <tableColumn id="19" xr3:uid="{705D0FA3-8CD0-4F10-BABF-66E3536A7F87}" name="16" dataDxfId="159"/>
    <tableColumn id="20" xr3:uid="{F1E9C133-EEA9-46C9-961C-6AF40E775BD6}" name="17" dataDxfId="158"/>
    <tableColumn id="21" xr3:uid="{F6BC7C78-2A3C-499D-A04D-038F30AC4003}" name="18" dataDxfId="157"/>
    <tableColumn id="22" xr3:uid="{5C9A95B1-85E3-4BAB-89C3-D9C39CF212A2}" name="19" dataDxfId="156"/>
    <tableColumn id="23" xr3:uid="{E1221504-201F-4A64-9461-A1C5FEEB4907}" name="20" dataDxfId="155"/>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154" dataCellStyle="Normal"/>
    <tableColumn id="3" xr3:uid="{133608FF-2A55-4BF1-A090-455A99CA43FA}" name="Probability"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153" dataDxfId="152">
  <autoFilter ref="E2:G22" xr:uid="{451964DB-2BCE-4C1E-8BE9-715C9AA1E515}"/>
  <tableColumns count="3">
    <tableColumn id="1" xr3:uid="{1BE30775-52D9-4F7B-ADBB-53314EADEABC}" name="Level" dataDxfId="151"/>
    <tableColumn id="2" xr3:uid="{86374212-E089-47E4-8FD4-E4B96A56CE02}" name="XP" dataDxfId="150"/>
    <tableColumn id="3" xr3:uid="{21FDB5E8-4A95-4A17-873B-3DC46FD3C448}" name="Proficiency" dataDxfId="149"/>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148" dataDxfId="147">
  <autoFilter ref="I2:J23" xr:uid="{340D2DB0-1FE3-4069-B56B-5C7918B01150}"/>
  <tableColumns count="2">
    <tableColumn id="1" xr3:uid="{E61B9BD0-1638-48B5-BF3F-FCC42837D603}" name="Condition" dataDxfId="146"/>
    <tableColumn id="2" xr3:uid="{D4CCAE50-4C23-45F2-9364-7D83445989E4}" name="Effect" dataDxfId="145"/>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64" totalsRowShown="0" headerRowDxfId="144" dataDxfId="143">
  <autoFilter ref="L2:M64" xr:uid="{B02F4662-FBA5-4167-9ED0-B92B062946CE}"/>
  <tableColumns count="2">
    <tableColumn id="1" xr3:uid="{A339495F-0270-48AD-A94F-2A5E7746ADC5}" name="Race" dataDxfId="142"/>
    <tableColumn id="2" xr3:uid="{B8E01C57-C064-4472-A770-D046CEB4E005}" name="Immunities/Resistances" dataDxfId="141"/>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140"/>
    <tableColumn id="6" xr3:uid="{8606EC67-7973-437A-BE4A-148F7DBBBFBD}" name="Typ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6" totalsRowShown="0">
  <autoFilter ref="O2:P6"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139" dataDxfId="138">
  <autoFilter ref="A2:B7" xr:uid="{D79410F2-05B9-4BFD-8CBD-4FC8F129DAEC}"/>
  <tableColumns count="2">
    <tableColumn id="1" xr3:uid="{131C4258-B158-4B94-8364-D131B87B10B6}" name="Vision" dataDxfId="137"/>
    <tableColumn id="2" xr3:uid="{E0651EED-9BB9-49DE-AC09-BCEEE9C7ACF1}" name="Effect" dataDxfId="136"/>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135" dataDxfId="134">
  <autoFilter ref="D2:E8" xr:uid="{96FF6EB5-551D-4125-8378-0F05A5D5A4F9}"/>
  <tableColumns count="2">
    <tableColumn id="1" xr3:uid="{77547F50-982C-4780-833F-7376B2C99122}" name="Environment" dataDxfId="133"/>
    <tableColumn id="2" xr3:uid="{819A4138-1B83-43AA-A805-8DA063E57209}" name="Effect" dataDxfId="1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131" dataDxfId="130">
  <autoFilter ref="G2:H9" xr:uid="{D7DCAD91-9403-47D9-BD65-960EEEE69D0F}"/>
  <tableColumns count="2">
    <tableColumn id="1" xr3:uid="{6CCFC97B-C2DD-499A-8CF4-894F7DA1063A}" name="Hazard" dataDxfId="129"/>
    <tableColumn id="2" xr3:uid="{06F88134-D9AB-4E23-99EA-2E8DE8D087EE}" name="Effect" dataDxfId="128"/>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72" dataDxfId="71">
  <autoFilter ref="A1:BI2" xr:uid="{EB6DE9E4-5ABE-4258-9B3E-4B06E96251CD}"/>
  <tableColumns count="61">
    <tableColumn id="1" xr3:uid="{BBEB1063-3352-4494-B17B-60B24A3EF5E7}" name="Encounter Name" dataDxfId="70"/>
    <tableColumn id="2" xr3:uid="{171D4BE4-1BBF-491F-AD4E-90CDD0F111D9}" name="Creature 1" dataDxfId="69"/>
    <tableColumn id="3" xr3:uid="{ADFA50EA-BEED-4C75-849C-652388022155}" name="#" dataDxfId="68"/>
    <tableColumn id="4" xr3:uid="{89E10F0E-F480-427C-9342-4C2A5AD01735}" name="Creature 2" dataDxfId="67"/>
    <tableColumn id="5" xr3:uid="{05C223B0-B199-4CC2-9826-B58C84C5ACFF}" name="#2" dataDxfId="66"/>
    <tableColumn id="6" xr3:uid="{971E8CF9-CC6C-418C-A115-9E1B41C15C4F}" name="Creature 3" dataDxfId="65"/>
    <tableColumn id="7" xr3:uid="{08EA8865-2C6A-4574-ADAF-1DBE4F10A7A9}" name="#3" dataDxfId="64"/>
    <tableColumn id="8" xr3:uid="{6599F7DA-CB4C-439E-AA9F-B9021E629564}" name="Creature 4" dataDxfId="63"/>
    <tableColumn id="9" xr3:uid="{9106E5A3-8814-4EE3-99D3-ECD592C86435}" name="#4" dataDxfId="62"/>
    <tableColumn id="10" xr3:uid="{BC65B331-0768-4920-AF72-437342272CF3}" name="Creature 5" dataDxfId="61"/>
    <tableColumn id="11" xr3:uid="{6855F91B-7CA0-4207-8F82-5B7EC0D334E4}" name="#5" dataDxfId="60"/>
    <tableColumn id="12" xr3:uid="{BCC0F163-E08C-42B9-9108-ACD664374EEC}" name="Creature 6" dataDxfId="59"/>
    <tableColumn id="13" xr3:uid="{3F2B97A2-8639-440D-BD3B-279C19145BD1}" name="#6" dataDxfId="58"/>
    <tableColumn id="14" xr3:uid="{22B7434E-5CC4-474F-B4AB-ABA9DD5AA38A}" name="Creature 7" dataDxfId="57"/>
    <tableColumn id="15" xr3:uid="{C2BCF869-EBA1-4B31-ADAD-F92B2E90C0C1}" name="#7" dataDxfId="56"/>
    <tableColumn id="16" xr3:uid="{DD35561E-2C31-40B5-9326-09119B3EBB1E}" name="Creature 8" dataDxfId="55"/>
    <tableColumn id="17" xr3:uid="{A37A376E-0749-438A-9059-51B210D254B8}" name="#8" dataDxfId="54"/>
    <tableColumn id="18" xr3:uid="{3ED4D08D-0E1E-4C4D-B3A1-FE1A008C9B60}" name="Creature 9" dataDxfId="53"/>
    <tableColumn id="19" xr3:uid="{F7967570-49D5-47AE-874F-24BE144110F6}" name="#9" dataDxfId="52"/>
    <tableColumn id="20" xr3:uid="{D66D8B43-50E1-487E-852E-CDE8C5A89A35}" name="Creature 10" dataDxfId="51"/>
    <tableColumn id="21" xr3:uid="{7B7FE4B7-7596-453B-8435-3CEDDCC43257}" name="#10" dataDxfId="50"/>
    <tableColumn id="22" xr3:uid="{FB289006-8765-4C06-9D7E-836095C4E77B}" name="Creature 11" dataDxfId="49"/>
    <tableColumn id="23" xr3:uid="{998DC728-C44F-42B6-B0F3-50CBA05B5A76}" name="#11" dataDxfId="48"/>
    <tableColumn id="24" xr3:uid="{F3BB5B8A-0176-47E5-B56F-59A4B462F312}" name="Creature 12" dataDxfId="47"/>
    <tableColumn id="25" xr3:uid="{5296C548-004C-488B-B84E-79173C97947C}" name="#12" dataDxfId="46"/>
    <tableColumn id="26" xr3:uid="{6E5FF433-474B-4F44-954A-501C67C98733}" name="Creature 13" dataDxfId="45"/>
    <tableColumn id="27" xr3:uid="{1CDD48A9-4089-4341-8B96-A54C8D306DA1}" name="#13" dataDxfId="44"/>
    <tableColumn id="28" xr3:uid="{64BA8079-9ED8-46CD-B8DF-1C29C1A3C0B7}" name="Creature 14" dataDxfId="43"/>
    <tableColumn id="29" xr3:uid="{E67F7656-4A93-429C-AB65-59029D9DECF6}" name="#14" dataDxfId="42"/>
    <tableColumn id="30" xr3:uid="{34CFA044-0385-4956-910E-9CC7815786DD}" name="Creature 15" dataDxfId="41"/>
    <tableColumn id="31" xr3:uid="{778634C5-7ACE-440F-B9B0-DD8FF48BF5E4}" name="#15" dataDxfId="40"/>
    <tableColumn id="32" xr3:uid="{A94E96BA-2E4F-4442-B5B2-786E10E9E7E0}" name="Creature 16" dataDxfId="39"/>
    <tableColumn id="33" xr3:uid="{30754484-4C83-4366-AF9A-B31857429189}" name="#16" dataDxfId="38"/>
    <tableColumn id="34" xr3:uid="{3A6DFFD5-6A4C-4335-9C15-34EDAB15CCEB}" name="Creature 17" dataDxfId="37"/>
    <tableColumn id="35" xr3:uid="{245FEBFA-60DA-4791-A4B7-B080F205C627}" name="#17" dataDxfId="36"/>
    <tableColumn id="36" xr3:uid="{5951D5E2-CC63-4415-912B-AD6FB3C5AC4F}" name="Creature 18" dataDxfId="35"/>
    <tableColumn id="37" xr3:uid="{F6C34A87-C33C-495A-A3FA-FFCFCDE02865}" name="#18" dataDxfId="34"/>
    <tableColumn id="38" xr3:uid="{F3380756-7AEA-444F-95D3-832FB3AC8B05}" name="Creature 19" dataDxfId="33"/>
    <tableColumn id="39" xr3:uid="{DE2DE512-20EB-4D45-B580-CF7283A07F35}" name="#19" dataDxfId="32"/>
    <tableColumn id="40" xr3:uid="{D4585C25-4214-4728-85DD-23B2196A8625}" name="Creature 20" dataDxfId="31"/>
    <tableColumn id="41" xr3:uid="{222F5BAA-E8D8-4ECB-A331-9FEC78F6E6F4}" name="#20" dataDxfId="30"/>
    <tableColumn id="42" xr3:uid="{0C345ADA-03C2-4D21-8486-41E7E9384C13}" name="Creature 21" dataDxfId="29"/>
    <tableColumn id="43" xr3:uid="{44A70225-D4B2-4D76-AB6C-F017B75DE8FF}" name="#21" dataDxfId="28"/>
    <tableColumn id="44" xr3:uid="{DD049928-0BEF-468F-84F9-4D5734466E5B}" name="Creature 22" dataDxfId="27"/>
    <tableColumn id="45" xr3:uid="{97246DAF-C2BC-4754-803B-2D90A4973470}" name="#22" dataDxfId="26"/>
    <tableColumn id="46" xr3:uid="{E2054374-B721-454C-A284-7E5254631C7C}" name="Creature 23" dataDxfId="25"/>
    <tableColumn id="47" xr3:uid="{DA87D147-DC87-4713-A85F-983501067882}" name="#23" dataDxfId="24"/>
    <tableColumn id="48" xr3:uid="{CFFC777C-598A-4F3D-8C31-DFA71D315D05}" name="Creature 24" dataDxfId="23"/>
    <tableColumn id="49" xr3:uid="{97D24C04-F918-4537-A24B-BAC88D9A3117}" name="#24" dataDxfId="22"/>
    <tableColumn id="50" xr3:uid="{BB0970B7-0CC4-48C7-A535-A35299B9AD35}" name="Creature 25" dataDxfId="21"/>
    <tableColumn id="51" xr3:uid="{D2C1BDC1-6FA2-4992-B4FF-464CC947D74F}" name="#25" dataDxfId="20"/>
    <tableColumn id="52" xr3:uid="{F74A7274-6977-4381-9D5F-8ABEF7BF767E}" name="Creature 26" dataDxfId="19"/>
    <tableColumn id="53" xr3:uid="{26AE36EB-03C1-44EA-A320-D366269CC813}" name="#26" dataDxfId="18"/>
    <tableColumn id="54" xr3:uid="{C66F2166-D12C-468A-9418-393622D50176}" name="Creature 27" dataDxfId="17"/>
    <tableColumn id="55" xr3:uid="{0997E822-1608-4B3F-96C1-257B442B658A}" name="#27" dataDxfId="16"/>
    <tableColumn id="56" xr3:uid="{F6518F14-6F3C-440D-8FC6-9FDC1478BC84}" name="Creature 28" dataDxfId="15"/>
    <tableColumn id="57" xr3:uid="{4FF0462C-2DCC-4F91-B1AB-04D6F0E01983}" name="#28" dataDxfId="14"/>
    <tableColumn id="58" xr3:uid="{393707DF-ACEF-40E1-A1DF-7B24A5A59C3F}" name="Creature 29" dataDxfId="13"/>
    <tableColumn id="59" xr3:uid="{72B15630-3655-4D84-8FC6-3CB3C509F3F8}" name="#29" dataDxfId="12"/>
    <tableColumn id="60" xr3:uid="{E92795DD-5F0E-4553-842F-068438D0EB24}" name="Creature 30" dataDxfId="11"/>
    <tableColumn id="61" xr3:uid="{38B77CBE-7044-4E02-9980-308676D1F205}" name="#30" dataDxfId="10"/>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G476" totalsRowShown="0" headerRowDxfId="9" dataDxfId="8" tableBorderDxfId="7">
  <autoFilter ref="A1:G476" xr:uid="{00000000-0009-0000-0100-000006000000}"/>
  <sortState ref="A2:G474">
    <sortCondition ref="A1:A474"/>
  </sortState>
  <tableColumns count="7">
    <tableColumn id="1" xr3:uid="{9293A421-2A3D-4301-B57A-EA2824A53F07}" name="Block" dataDxfId="6"/>
    <tableColumn id="2" xr3:uid="{B4A4D952-CEEA-421A-A374-2868BD851E2F}" name="Size" dataDxfId="5"/>
    <tableColumn id="4" xr3:uid="{346A5D79-C90C-45F4-8C2E-F872C19FC45E}" name="AC" dataDxfId="4"/>
    <tableColumn id="5" xr3:uid="{25C5D9EA-356E-4FA7-A1D9-B51704BC7BF2}" name="HP" dataDxfId="3"/>
    <tableColumn id="20" xr3:uid="{45618392-C961-4B53-B532-8DFCA9F67EC8}" name="CR" dataDxfId="2"/>
    <tableColumn id="21" xr3:uid="{E9BA30E5-C80B-4534-9E10-E803E8B5F619}" name="EXP" dataDxfId="1"/>
    <tableColumn id="26" xr3:uid="{13CC5257-53D0-4AEF-9021-87A779397E9B}" name="Sourc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vmlDrawing" Target="../drawings/vmlDrawing1.v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T74"/>
  <sheetViews>
    <sheetView topLeftCell="AM1" zoomScaleNormal="100" workbookViewId="0">
      <selection activeCell="AW11" sqref="AW11"/>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16384" width="9.140625" style="7"/>
  </cols>
  <sheetData>
    <row r="1" spans="1:46" x14ac:dyDescent="0.25">
      <c r="A1" t="s">
        <v>1084</v>
      </c>
      <c r="C1" s="150" t="s">
        <v>1087</v>
      </c>
      <c r="D1" s="150"/>
      <c r="E1" s="150"/>
      <c r="F1" s="150"/>
      <c r="G1" s="150"/>
      <c r="I1" s="150" t="s">
        <v>1114</v>
      </c>
      <c r="J1" s="150"/>
      <c r="L1" s="7" t="s">
        <v>1115</v>
      </c>
      <c r="N1" s="150" t="s">
        <v>1119</v>
      </c>
      <c r="O1" s="150"/>
      <c r="P1" s="150"/>
      <c r="Q1" s="150"/>
      <c r="R1" s="150"/>
      <c r="T1" s="150" t="s">
        <v>1141</v>
      </c>
      <c r="U1" s="150"/>
      <c r="W1" s="150" t="s">
        <v>1165</v>
      </c>
      <c r="X1" s="150"/>
      <c r="Y1" s="150"/>
      <c r="Z1" s="150"/>
      <c r="AA1" s="150"/>
      <c r="AB1" s="150"/>
      <c r="AC1" s="150"/>
      <c r="AD1" s="150"/>
      <c r="AE1" s="150"/>
      <c r="AF1" s="150"/>
      <c r="AG1" s="150"/>
      <c r="AH1" s="150"/>
      <c r="AI1" s="150"/>
      <c r="AJ1" s="150"/>
      <c r="AK1" s="150"/>
      <c r="AL1" s="150"/>
      <c r="AM1" s="150"/>
      <c r="AN1" s="150"/>
      <c r="AO1" s="150"/>
      <c r="AP1" s="150"/>
      <c r="AQ1" s="150"/>
      <c r="AR1" s="150"/>
      <c r="AS1" s="150"/>
    </row>
    <row r="2" spans="1:46" x14ac:dyDescent="0.25">
      <c r="A2" s="12" t="s">
        <v>1085</v>
      </c>
      <c r="C2" s="12" t="s">
        <v>1088</v>
      </c>
      <c r="D2" s="12" t="s">
        <v>1089</v>
      </c>
      <c r="E2" s="12" t="s">
        <v>1090</v>
      </c>
      <c r="F2" s="12" t="s">
        <v>1091</v>
      </c>
      <c r="G2" s="12" t="s">
        <v>1092</v>
      </c>
      <c r="I2" s="15" t="s">
        <v>1116</v>
      </c>
      <c r="J2" s="15" t="s">
        <v>1117</v>
      </c>
      <c r="K2" s="15"/>
      <c r="L2" s="15" t="s">
        <v>1118</v>
      </c>
      <c r="N2" s="12" t="s">
        <v>1120</v>
      </c>
      <c r="O2" s="12" t="s">
        <v>1089</v>
      </c>
      <c r="P2" s="12" t="s">
        <v>1090</v>
      </c>
      <c r="Q2" s="12" t="s">
        <v>1091</v>
      </c>
      <c r="R2" s="12" t="s">
        <v>1092</v>
      </c>
      <c r="T2" s="12" t="s">
        <v>6</v>
      </c>
      <c r="U2" s="12" t="s">
        <v>7</v>
      </c>
      <c r="W2" s="12" t="s">
        <v>1088</v>
      </c>
      <c r="X2" s="12" t="s">
        <v>1142</v>
      </c>
      <c r="Y2" s="12" t="s">
        <v>1143</v>
      </c>
      <c r="Z2" s="12" t="s">
        <v>1144</v>
      </c>
      <c r="AA2" s="12" t="s">
        <v>1145</v>
      </c>
      <c r="AB2" s="12" t="s">
        <v>1146</v>
      </c>
      <c r="AC2" s="12" t="s">
        <v>1147</v>
      </c>
      <c r="AD2" s="12" t="s">
        <v>1148</v>
      </c>
      <c r="AE2" s="12" t="s">
        <v>1149</v>
      </c>
      <c r="AF2" s="12" t="s">
        <v>1150</v>
      </c>
      <c r="AG2" s="12" t="s">
        <v>1151</v>
      </c>
      <c r="AH2" s="12" t="s">
        <v>1152</v>
      </c>
      <c r="AI2" s="12" t="s">
        <v>1153</v>
      </c>
      <c r="AJ2" s="12" t="s">
        <v>1154</v>
      </c>
      <c r="AK2" s="12" t="s">
        <v>1155</v>
      </c>
      <c r="AL2" s="12" t="s">
        <v>1156</v>
      </c>
      <c r="AM2" s="12" t="s">
        <v>1157</v>
      </c>
      <c r="AN2" s="12" t="s">
        <v>1158</v>
      </c>
      <c r="AO2" s="12" t="s">
        <v>1159</v>
      </c>
      <c r="AP2" s="12" t="s">
        <v>1160</v>
      </c>
      <c r="AQ2" s="12" t="s">
        <v>1161</v>
      </c>
      <c r="AR2" s="12" t="s">
        <v>1162</v>
      </c>
      <c r="AS2" s="12" t="s">
        <v>1163</v>
      </c>
      <c r="AT2" s="12" t="s">
        <v>1164</v>
      </c>
    </row>
    <row r="3" spans="1:46" x14ac:dyDescent="0.25">
      <c r="C3" s="12">
        <v>1</v>
      </c>
      <c r="D3" s="12">
        <v>25</v>
      </c>
      <c r="E3" s="12">
        <v>50</v>
      </c>
      <c r="F3" s="12">
        <v>75</v>
      </c>
      <c r="G3" s="12">
        <v>100</v>
      </c>
      <c r="I3" s="7">
        <v>1</v>
      </c>
      <c r="J3" s="7">
        <v>1</v>
      </c>
      <c r="L3" s="7">
        <v>1</v>
      </c>
      <c r="N3" s="12" t="s">
        <v>1121</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row>
    <row r="4" spans="1:46" x14ac:dyDescent="0.25">
      <c r="A4" s="7" t="s">
        <v>1086</v>
      </c>
      <c r="C4" s="12">
        <v>2</v>
      </c>
      <c r="D4" s="12">
        <v>50</v>
      </c>
      <c r="E4" s="12">
        <v>100</v>
      </c>
      <c r="F4" s="12">
        <v>150</v>
      </c>
      <c r="G4" s="12">
        <v>200</v>
      </c>
      <c r="I4" s="7">
        <v>2</v>
      </c>
      <c r="J4" s="7">
        <v>1.5</v>
      </c>
      <c r="L4" s="7">
        <v>2</v>
      </c>
      <c r="N4" s="12" t="s">
        <v>1122</v>
      </c>
      <c r="O4" s="12">
        <v>50</v>
      </c>
      <c r="P4" s="12">
        <v>100</v>
      </c>
      <c r="Q4" s="12">
        <v>150</v>
      </c>
      <c r="R4" s="12">
        <v>200</v>
      </c>
      <c r="T4" s="16" t="s">
        <v>1142</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row>
    <row r="5" spans="1:46" x14ac:dyDescent="0.25">
      <c r="C5" s="12">
        <v>3</v>
      </c>
      <c r="D5" s="12">
        <v>75</v>
      </c>
      <c r="E5" s="12">
        <v>150</v>
      </c>
      <c r="F5" s="12">
        <v>225</v>
      </c>
      <c r="G5" s="12">
        <v>400</v>
      </c>
      <c r="I5" s="7">
        <v>3</v>
      </c>
      <c r="J5" s="7">
        <v>2</v>
      </c>
      <c r="L5" s="7">
        <v>3</v>
      </c>
      <c r="N5" s="12" t="s">
        <v>1123</v>
      </c>
      <c r="O5" s="12">
        <v>75</v>
      </c>
      <c r="P5" s="12">
        <v>150</v>
      </c>
      <c r="Q5" s="12">
        <v>225</v>
      </c>
      <c r="R5" s="12">
        <v>400</v>
      </c>
      <c r="T5" s="16" t="s">
        <v>1143</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row>
    <row r="6" spans="1:46" x14ac:dyDescent="0.25">
      <c r="C6" s="12">
        <v>4</v>
      </c>
      <c r="D6" s="12">
        <v>125</v>
      </c>
      <c r="E6" s="12">
        <v>250</v>
      </c>
      <c r="F6" s="12">
        <v>375</v>
      </c>
      <c r="G6" s="12">
        <v>500</v>
      </c>
      <c r="I6" s="7">
        <v>7</v>
      </c>
      <c r="J6" s="7">
        <v>2.5</v>
      </c>
      <c r="L6" s="7">
        <v>4</v>
      </c>
      <c r="N6" s="12" t="s">
        <v>1124</v>
      </c>
      <c r="O6" s="12">
        <v>125</v>
      </c>
      <c r="P6" s="12">
        <v>250</v>
      </c>
      <c r="Q6" s="12">
        <v>375</v>
      </c>
      <c r="R6" s="12">
        <v>500</v>
      </c>
      <c r="T6" s="16" t="s">
        <v>1144</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row>
    <row r="7" spans="1:46" x14ac:dyDescent="0.25">
      <c r="C7" s="12">
        <v>5</v>
      </c>
      <c r="D7" s="12">
        <v>250</v>
      </c>
      <c r="E7" s="12">
        <v>500</v>
      </c>
      <c r="F7" s="12">
        <v>750</v>
      </c>
      <c r="G7" s="12">
        <v>1100</v>
      </c>
      <c r="I7" s="7">
        <v>11</v>
      </c>
      <c r="J7" s="7">
        <v>3</v>
      </c>
      <c r="L7" s="7">
        <v>5</v>
      </c>
      <c r="N7" s="12" t="s">
        <v>1125</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row>
    <row r="8" spans="1:46" x14ac:dyDescent="0.25">
      <c r="C8" s="12">
        <v>6</v>
      </c>
      <c r="D8" s="12">
        <v>300</v>
      </c>
      <c r="E8" s="12">
        <v>600</v>
      </c>
      <c r="F8" s="12">
        <v>900</v>
      </c>
      <c r="G8" s="12">
        <v>1400</v>
      </c>
      <c r="I8" s="7">
        <v>15</v>
      </c>
      <c r="J8" s="7">
        <v>4</v>
      </c>
      <c r="L8" s="7">
        <v>6</v>
      </c>
      <c r="N8" s="12" t="s">
        <v>1126</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row>
    <row r="9" spans="1:46" x14ac:dyDescent="0.25">
      <c r="C9" s="12">
        <v>7</v>
      </c>
      <c r="D9" s="12">
        <v>350</v>
      </c>
      <c r="E9" s="12">
        <v>750</v>
      </c>
      <c r="F9" s="12">
        <v>1100</v>
      </c>
      <c r="G9" s="12">
        <v>1700</v>
      </c>
      <c r="L9" s="7">
        <v>7</v>
      </c>
      <c r="N9" s="12" t="s">
        <v>1127</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row>
    <row r="10" spans="1:46" x14ac:dyDescent="0.25">
      <c r="C10" s="12">
        <v>8</v>
      </c>
      <c r="D10" s="12">
        <v>450</v>
      </c>
      <c r="E10" s="12">
        <v>900</v>
      </c>
      <c r="F10" s="12">
        <v>1400</v>
      </c>
      <c r="G10" s="12">
        <v>2100</v>
      </c>
      <c r="L10" s="7">
        <v>8</v>
      </c>
      <c r="N10" s="12" t="s">
        <v>1128</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row>
    <row r="11" spans="1:46" x14ac:dyDescent="0.25">
      <c r="C11" s="12">
        <v>9</v>
      </c>
      <c r="D11" s="12">
        <v>550</v>
      </c>
      <c r="E11" s="12">
        <v>1100</v>
      </c>
      <c r="F11" s="12">
        <v>1600</v>
      </c>
      <c r="G11" s="12">
        <v>2400</v>
      </c>
      <c r="L11" s="7">
        <v>9</v>
      </c>
      <c r="N11" s="12" t="s">
        <v>1129</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row>
    <row r="12" spans="1:46" x14ac:dyDescent="0.25">
      <c r="C12" s="12">
        <v>10</v>
      </c>
      <c r="D12" s="12">
        <v>600</v>
      </c>
      <c r="E12" s="12">
        <v>1200</v>
      </c>
      <c r="F12" s="12">
        <v>1900</v>
      </c>
      <c r="G12" s="12">
        <v>2800</v>
      </c>
      <c r="L12" s="7">
        <v>10</v>
      </c>
      <c r="N12" s="12" t="s">
        <v>1130</v>
      </c>
      <c r="O12" s="12">
        <v>600</v>
      </c>
      <c r="P12" s="12">
        <v>1200</v>
      </c>
      <c r="Q12" s="12">
        <v>1900</v>
      </c>
      <c r="R12" s="12">
        <v>2800</v>
      </c>
      <c r="T12" s="12"/>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row>
    <row r="13" spans="1:46" x14ac:dyDescent="0.25">
      <c r="C13" s="12">
        <v>11</v>
      </c>
      <c r="D13" s="12">
        <v>800</v>
      </c>
      <c r="E13" s="12">
        <v>1600</v>
      </c>
      <c r="F13" s="12">
        <v>2400</v>
      </c>
      <c r="G13" s="12">
        <v>3600</v>
      </c>
      <c r="L13" s="7">
        <v>11</v>
      </c>
      <c r="N13" s="12" t="s">
        <v>1131</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6" x14ac:dyDescent="0.25">
      <c r="C14" s="12">
        <v>12</v>
      </c>
      <c r="D14" s="12">
        <v>1000</v>
      </c>
      <c r="E14" s="12">
        <v>2000</v>
      </c>
      <c r="F14" s="12">
        <v>3000</v>
      </c>
      <c r="G14" s="12">
        <v>4500</v>
      </c>
      <c r="L14" s="7">
        <v>12</v>
      </c>
      <c r="N14" s="12" t="s">
        <v>1132</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6" x14ac:dyDescent="0.25">
      <c r="C15" s="12">
        <v>13</v>
      </c>
      <c r="D15" s="12">
        <v>1100</v>
      </c>
      <c r="E15" s="12">
        <v>2200</v>
      </c>
      <c r="F15" s="12">
        <v>3400</v>
      </c>
      <c r="G15" s="12">
        <v>5100</v>
      </c>
      <c r="L15" s="7">
        <v>13</v>
      </c>
      <c r="N15" s="12" t="s">
        <v>1133</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6" x14ac:dyDescent="0.25">
      <c r="C16" s="12">
        <v>14</v>
      </c>
      <c r="D16" s="12">
        <v>1250</v>
      </c>
      <c r="E16" s="12">
        <v>2500</v>
      </c>
      <c r="F16" s="12">
        <v>3800</v>
      </c>
      <c r="G16" s="12">
        <v>5700</v>
      </c>
      <c r="L16" s="7">
        <v>14</v>
      </c>
      <c r="N16" s="12" t="s">
        <v>1134</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1135</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1136</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1137</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1138</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1139</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1140</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30</v>
      </c>
      <c r="U31" s="12">
        <v>155000</v>
      </c>
    </row>
    <row r="32" spans="3:46" x14ac:dyDescent="0.25">
      <c r="L32" s="7">
        <v>30</v>
      </c>
    </row>
    <row r="33" spans="12:12" x14ac:dyDescent="0.25">
      <c r="L33" s="7">
        <v>31</v>
      </c>
    </row>
    <row r="34" spans="12:12" x14ac:dyDescent="0.25">
      <c r="L34" s="7">
        <v>32</v>
      </c>
    </row>
    <row r="35" spans="12:12" x14ac:dyDescent="0.25">
      <c r="L35" s="7">
        <v>33</v>
      </c>
    </row>
    <row r="36" spans="12:12" x14ac:dyDescent="0.25">
      <c r="L36" s="7">
        <v>34</v>
      </c>
    </row>
    <row r="37" spans="12:12" x14ac:dyDescent="0.25">
      <c r="L37" s="7">
        <v>35</v>
      </c>
    </row>
    <row r="38" spans="12:12" x14ac:dyDescent="0.25">
      <c r="L38" s="7">
        <v>36</v>
      </c>
    </row>
    <row r="39" spans="12:12" x14ac:dyDescent="0.25">
      <c r="L39" s="7">
        <v>37</v>
      </c>
    </row>
    <row r="40" spans="12:12" x14ac:dyDescent="0.25">
      <c r="L40" s="7">
        <v>38</v>
      </c>
    </row>
    <row r="41" spans="12:12" x14ac:dyDescent="0.25">
      <c r="L41" s="7">
        <v>39</v>
      </c>
    </row>
    <row r="42" spans="12:12" x14ac:dyDescent="0.25">
      <c r="L42" s="7">
        <v>40</v>
      </c>
    </row>
    <row r="43" spans="12:12" x14ac:dyDescent="0.25">
      <c r="L43" s="7">
        <v>41</v>
      </c>
    </row>
    <row r="44" spans="12:12" x14ac:dyDescent="0.25">
      <c r="L44" s="7">
        <v>42</v>
      </c>
    </row>
    <row r="45" spans="12:12" x14ac:dyDescent="0.25">
      <c r="L45" s="7">
        <v>43</v>
      </c>
    </row>
    <row r="46" spans="12:12" x14ac:dyDescent="0.25">
      <c r="L46" s="7">
        <v>44</v>
      </c>
    </row>
    <row r="47" spans="12:12" x14ac:dyDescent="0.25">
      <c r="L47" s="7">
        <v>45</v>
      </c>
    </row>
    <row r="48" spans="12:12"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5">
    <mergeCell ref="C1:G1"/>
    <mergeCell ref="I1:J1"/>
    <mergeCell ref="N1:R1"/>
    <mergeCell ref="T1:U1"/>
    <mergeCell ref="W1:AS1"/>
  </mergeCells>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64"/>
  <sheetViews>
    <sheetView topLeftCell="M1" workbookViewId="0">
      <selection activeCell="AW11" sqref="AW11"/>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9.140625" style="5"/>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151" t="s">
        <v>1093</v>
      </c>
      <c r="B1" s="151"/>
      <c r="C1" s="151"/>
      <c r="E1" s="152" t="s">
        <v>1218</v>
      </c>
      <c r="F1" s="152"/>
      <c r="G1" s="152"/>
      <c r="I1" s="152" t="s">
        <v>1226</v>
      </c>
      <c r="J1" s="152"/>
      <c r="L1" s="12" t="s">
        <v>1269</v>
      </c>
      <c r="O1" t="s">
        <v>1467</v>
      </c>
      <c r="P1"/>
      <c r="R1" s="5" t="s">
        <v>1348</v>
      </c>
      <c r="T1" s="5" t="s">
        <v>1359</v>
      </c>
    </row>
    <row r="2" spans="1:24" ht="15.75" customHeight="1" x14ac:dyDescent="0.25">
      <c r="A2" t="s">
        <v>1094</v>
      </c>
      <c r="B2" s="6" t="s">
        <v>1049</v>
      </c>
      <c r="C2" t="s">
        <v>1095</v>
      </c>
      <c r="E2" s="12" t="s">
        <v>1088</v>
      </c>
      <c r="F2" s="12" t="s">
        <v>1219</v>
      </c>
      <c r="G2" s="12" t="s">
        <v>1220</v>
      </c>
      <c r="I2" s="12" t="s">
        <v>1227</v>
      </c>
      <c r="J2" s="13" t="s">
        <v>1049</v>
      </c>
      <c r="L2" s="12" t="s">
        <v>1269</v>
      </c>
      <c r="M2" s="12" t="s">
        <v>1330</v>
      </c>
      <c r="O2" t="s">
        <v>1269</v>
      </c>
      <c r="P2" t="s">
        <v>1468</v>
      </c>
      <c r="R2" t="s">
        <v>1348</v>
      </c>
      <c r="T2" t="s">
        <v>1166</v>
      </c>
      <c r="U2" t="s">
        <v>1167</v>
      </c>
      <c r="V2" t="s">
        <v>1168</v>
      </c>
      <c r="W2" s="6" t="s">
        <v>1169</v>
      </c>
      <c r="X2" t="s">
        <v>1170</v>
      </c>
    </row>
    <row r="3" spans="1:24" ht="91.5" customHeight="1" x14ac:dyDescent="0.25">
      <c r="A3" t="s">
        <v>1096</v>
      </c>
      <c r="B3" s="6" t="s">
        <v>1097</v>
      </c>
      <c r="C3">
        <f>1/20</f>
        <v>0.05</v>
      </c>
      <c r="E3" s="12">
        <v>1</v>
      </c>
      <c r="F3" s="12">
        <v>0</v>
      </c>
      <c r="G3" s="12" t="s">
        <v>1221</v>
      </c>
      <c r="I3" s="12" t="s">
        <v>1228</v>
      </c>
      <c r="J3" s="13" t="s">
        <v>1229</v>
      </c>
      <c r="L3" s="12" t="s">
        <v>1270</v>
      </c>
      <c r="M3" s="13" t="s">
        <v>1331</v>
      </c>
      <c r="O3" t="s">
        <v>1292</v>
      </c>
      <c r="P3">
        <v>2</v>
      </c>
      <c r="R3" t="s">
        <v>1363</v>
      </c>
      <c r="T3" t="s">
        <v>1176</v>
      </c>
      <c r="U3" t="s">
        <v>1172</v>
      </c>
      <c r="V3" t="s">
        <v>1177</v>
      </c>
      <c r="W3" s="6" t="s">
        <v>1178</v>
      </c>
      <c r="X3" t="s">
        <v>1179</v>
      </c>
    </row>
    <row r="4" spans="1:24" ht="181.5" customHeight="1" x14ac:dyDescent="0.25">
      <c r="A4" t="s">
        <v>1098</v>
      </c>
      <c r="B4" s="6" t="s">
        <v>1099</v>
      </c>
      <c r="C4">
        <f>1/20</f>
        <v>0.05</v>
      </c>
      <c r="E4" s="12">
        <v>2</v>
      </c>
      <c r="F4" s="12">
        <v>300</v>
      </c>
      <c r="G4" s="12" t="s">
        <v>1221</v>
      </c>
      <c r="I4" s="12" t="s">
        <v>1230</v>
      </c>
      <c r="J4" s="13" t="s">
        <v>1231</v>
      </c>
      <c r="L4" s="12" t="s">
        <v>1271</v>
      </c>
      <c r="M4" s="13" t="s">
        <v>1332</v>
      </c>
      <c r="O4" t="s">
        <v>1296</v>
      </c>
      <c r="P4">
        <v>2</v>
      </c>
      <c r="R4" t="s">
        <v>1364</v>
      </c>
      <c r="T4" t="s">
        <v>1180</v>
      </c>
      <c r="U4" t="s">
        <v>1173</v>
      </c>
      <c r="V4" t="s">
        <v>1181</v>
      </c>
      <c r="W4" s="6" t="s">
        <v>1182</v>
      </c>
      <c r="X4" t="s">
        <v>1179</v>
      </c>
    </row>
    <row r="5" spans="1:24" ht="106.5" customHeight="1" x14ac:dyDescent="0.25">
      <c r="A5" t="s">
        <v>1100</v>
      </c>
      <c r="B5" s="6" t="s">
        <v>1101</v>
      </c>
      <c r="C5">
        <f>1/20</f>
        <v>0.05</v>
      </c>
      <c r="E5" s="12">
        <v>3</v>
      </c>
      <c r="F5" s="12">
        <v>900</v>
      </c>
      <c r="G5" s="12" t="s">
        <v>1221</v>
      </c>
      <c r="I5" s="12" t="s">
        <v>1232</v>
      </c>
      <c r="J5" s="13" t="s">
        <v>1233</v>
      </c>
      <c r="L5" s="12" t="s">
        <v>1272</v>
      </c>
      <c r="M5" s="13" t="s">
        <v>1333</v>
      </c>
      <c r="O5" t="s">
        <v>743</v>
      </c>
      <c r="P5">
        <v>2</v>
      </c>
      <c r="R5" t="s">
        <v>1365</v>
      </c>
      <c r="T5" t="s">
        <v>1183</v>
      </c>
      <c r="U5" t="s">
        <v>1184</v>
      </c>
      <c r="V5" t="s">
        <v>1185</v>
      </c>
      <c r="W5" s="6" t="s">
        <v>1186</v>
      </c>
      <c r="X5" t="s">
        <v>1179</v>
      </c>
    </row>
    <row r="6" spans="1:24" ht="76.5" customHeight="1" x14ac:dyDescent="0.25">
      <c r="A6" t="s">
        <v>1102</v>
      </c>
      <c r="B6" s="6" t="s">
        <v>1103</v>
      </c>
      <c r="C6">
        <f>1/20</f>
        <v>0.05</v>
      </c>
      <c r="E6" s="12">
        <v>4</v>
      </c>
      <c r="F6" s="12">
        <v>2700</v>
      </c>
      <c r="G6" s="12" t="s">
        <v>1221</v>
      </c>
      <c r="I6" s="12" t="s">
        <v>1234</v>
      </c>
      <c r="J6" s="13" t="s">
        <v>1235</v>
      </c>
      <c r="L6" s="12" t="s">
        <v>1273</v>
      </c>
      <c r="M6" s="13" t="s">
        <v>1334</v>
      </c>
      <c r="O6" t="s">
        <v>181</v>
      </c>
      <c r="P6">
        <v>2</v>
      </c>
      <c r="R6" t="s">
        <v>331</v>
      </c>
      <c r="T6" t="s">
        <v>1187</v>
      </c>
      <c r="U6" t="s">
        <v>1173</v>
      </c>
      <c r="V6" t="s">
        <v>1188</v>
      </c>
      <c r="W6" s="6" t="s">
        <v>1189</v>
      </c>
      <c r="X6" t="s">
        <v>1190</v>
      </c>
    </row>
    <row r="7" spans="1:24" ht="106.5" customHeight="1" x14ac:dyDescent="0.25">
      <c r="A7" t="s">
        <v>1104</v>
      </c>
      <c r="B7" s="6" t="s">
        <v>1105</v>
      </c>
      <c r="C7" s="14">
        <f>3/20</f>
        <v>0.15</v>
      </c>
      <c r="E7" s="12">
        <v>5</v>
      </c>
      <c r="F7" s="12">
        <v>6500</v>
      </c>
      <c r="G7" s="12" t="s">
        <v>1222</v>
      </c>
      <c r="I7" s="12" t="s">
        <v>1236</v>
      </c>
      <c r="J7" s="13" t="s">
        <v>1237</v>
      </c>
      <c r="L7" s="12" t="s">
        <v>1274</v>
      </c>
      <c r="M7" s="13"/>
      <c r="R7" t="s">
        <v>1366</v>
      </c>
      <c r="T7" t="s">
        <v>1191</v>
      </c>
      <c r="U7" t="s">
        <v>1171</v>
      </c>
      <c r="V7" t="s">
        <v>1192</v>
      </c>
      <c r="W7" s="6" t="s">
        <v>1193</v>
      </c>
      <c r="X7" t="s">
        <v>1190</v>
      </c>
    </row>
    <row r="8" spans="1:24" ht="61.5" customHeight="1" x14ac:dyDescent="0.25">
      <c r="A8" t="s">
        <v>1106</v>
      </c>
      <c r="B8" s="6" t="s">
        <v>1107</v>
      </c>
      <c r="C8" s="14">
        <f>3/20</f>
        <v>0.15</v>
      </c>
      <c r="E8" s="12">
        <v>6</v>
      </c>
      <c r="F8" s="12">
        <v>14000</v>
      </c>
      <c r="G8" s="12" t="s">
        <v>1222</v>
      </c>
      <c r="I8" s="12" t="s">
        <v>1238</v>
      </c>
      <c r="J8" s="13" t="s">
        <v>1239</v>
      </c>
      <c r="L8" s="12" t="s">
        <v>1275</v>
      </c>
      <c r="M8" s="13" t="s">
        <v>1334</v>
      </c>
      <c r="R8" t="s">
        <v>1367</v>
      </c>
      <c r="T8" t="s">
        <v>1194</v>
      </c>
      <c r="U8" t="s">
        <v>1171</v>
      </c>
      <c r="V8" t="s">
        <v>1195</v>
      </c>
      <c r="W8" s="6" t="s">
        <v>1196</v>
      </c>
      <c r="X8" t="s">
        <v>1190</v>
      </c>
    </row>
    <row r="9" spans="1:24" ht="106.5" customHeight="1" x14ac:dyDescent="0.25">
      <c r="A9" t="s">
        <v>1108</v>
      </c>
      <c r="B9" s="6" t="s">
        <v>1109</v>
      </c>
      <c r="C9" s="14">
        <f>3/20</f>
        <v>0.15</v>
      </c>
      <c r="E9" s="12">
        <v>7</v>
      </c>
      <c r="F9" s="12">
        <v>23000</v>
      </c>
      <c r="G9" s="12" t="s">
        <v>1222</v>
      </c>
      <c r="I9" s="12" t="s">
        <v>1240</v>
      </c>
      <c r="J9" s="13" t="s">
        <v>1241</v>
      </c>
      <c r="L9" s="12" t="s">
        <v>1276</v>
      </c>
      <c r="M9" s="13" t="s">
        <v>1335</v>
      </c>
      <c r="R9" t="s">
        <v>1368</v>
      </c>
      <c r="T9" t="s">
        <v>1197</v>
      </c>
      <c r="U9" t="s">
        <v>1198</v>
      </c>
      <c r="V9" t="s">
        <v>1192</v>
      </c>
      <c r="W9" s="6" t="s">
        <v>1199</v>
      </c>
      <c r="X9" t="s">
        <v>1190</v>
      </c>
    </row>
    <row r="10" spans="1:24" ht="121.5" customHeight="1" x14ac:dyDescent="0.25">
      <c r="A10" t="s">
        <v>1110</v>
      </c>
      <c r="B10" s="6" t="s">
        <v>1111</v>
      </c>
      <c r="C10" s="14">
        <f>3/20</f>
        <v>0.15</v>
      </c>
      <c r="E10" s="12">
        <v>8</v>
      </c>
      <c r="F10" s="12">
        <v>34000</v>
      </c>
      <c r="G10" s="12" t="s">
        <v>1222</v>
      </c>
      <c r="I10" s="12" t="s">
        <v>1242</v>
      </c>
      <c r="J10" s="13" t="s">
        <v>1243</v>
      </c>
      <c r="L10" s="12" t="s">
        <v>1277</v>
      </c>
      <c r="M10" s="13"/>
      <c r="R10" t="s">
        <v>1369</v>
      </c>
      <c r="T10" t="s">
        <v>1200</v>
      </c>
      <c r="U10" t="s">
        <v>1201</v>
      </c>
      <c r="V10" t="s">
        <v>1202</v>
      </c>
      <c r="W10" s="6" t="s">
        <v>1203</v>
      </c>
      <c r="X10" t="s">
        <v>1190</v>
      </c>
    </row>
    <row r="11" spans="1:24" ht="106.5" customHeight="1" x14ac:dyDescent="0.25">
      <c r="A11" t="s">
        <v>1112</v>
      </c>
      <c r="B11" s="6" t="s">
        <v>1113</v>
      </c>
      <c r="C11" s="14">
        <f>4/20</f>
        <v>0.2</v>
      </c>
      <c r="E11" s="12">
        <v>9</v>
      </c>
      <c r="F11" s="12">
        <v>48000</v>
      </c>
      <c r="G11" s="12" t="s">
        <v>1223</v>
      </c>
      <c r="I11" s="12" t="s">
        <v>1244</v>
      </c>
      <c r="J11" s="13" t="s">
        <v>1245</v>
      </c>
      <c r="L11" s="12" t="s">
        <v>1278</v>
      </c>
      <c r="M11" s="13" t="s">
        <v>1336</v>
      </c>
      <c r="R11" t="s">
        <v>1370</v>
      </c>
      <c r="T11" t="s">
        <v>1204</v>
      </c>
      <c r="U11" t="s">
        <v>1174</v>
      </c>
      <c r="V11" t="s">
        <v>1202</v>
      </c>
      <c r="W11" s="6" t="s">
        <v>1205</v>
      </c>
      <c r="X11" t="s">
        <v>1206</v>
      </c>
    </row>
    <row r="12" spans="1:24" ht="76.5" customHeight="1" x14ac:dyDescent="0.25">
      <c r="E12" s="12">
        <v>10</v>
      </c>
      <c r="F12" s="12">
        <v>64000</v>
      </c>
      <c r="G12" s="12" t="s">
        <v>1223</v>
      </c>
      <c r="I12" s="12" t="s">
        <v>1246</v>
      </c>
      <c r="J12" s="13" t="s">
        <v>1247</v>
      </c>
      <c r="L12" s="12" t="s">
        <v>1279</v>
      </c>
      <c r="M12" s="13" t="s">
        <v>1335</v>
      </c>
      <c r="R12" t="s">
        <v>1371</v>
      </c>
      <c r="T12" t="s">
        <v>1207</v>
      </c>
      <c r="U12" t="s">
        <v>1175</v>
      </c>
      <c r="V12" t="s">
        <v>1208</v>
      </c>
      <c r="W12" s="6" t="s">
        <v>1209</v>
      </c>
      <c r="X12" t="s">
        <v>1206</v>
      </c>
    </row>
    <row r="13" spans="1:24" ht="136.5" customHeight="1" x14ac:dyDescent="0.25">
      <c r="E13" s="12">
        <v>11</v>
      </c>
      <c r="F13" s="12">
        <v>85000</v>
      </c>
      <c r="G13" s="12" t="s">
        <v>1223</v>
      </c>
      <c r="I13" s="12" t="s">
        <v>1248</v>
      </c>
      <c r="J13" s="13" t="s">
        <v>1249</v>
      </c>
      <c r="L13" s="12" t="s">
        <v>1280</v>
      </c>
      <c r="M13" s="13" t="s">
        <v>1333</v>
      </c>
      <c r="R13" t="s">
        <v>1372</v>
      </c>
      <c r="T13" t="s">
        <v>1210</v>
      </c>
      <c r="U13" t="s">
        <v>1211</v>
      </c>
      <c r="V13" t="s">
        <v>1212</v>
      </c>
      <c r="W13" s="6" t="s">
        <v>1213</v>
      </c>
      <c r="X13" t="s">
        <v>1206</v>
      </c>
    </row>
    <row r="14" spans="1:24" ht="106.5" customHeight="1" x14ac:dyDescent="0.25">
      <c r="E14" s="12">
        <v>12</v>
      </c>
      <c r="F14" s="12">
        <v>100000</v>
      </c>
      <c r="G14" s="12" t="s">
        <v>1223</v>
      </c>
      <c r="I14" s="12" t="s">
        <v>1250</v>
      </c>
      <c r="J14" s="13" t="s">
        <v>1251</v>
      </c>
      <c r="L14" s="12" t="s">
        <v>1281</v>
      </c>
      <c r="M14" s="13" t="s">
        <v>1337</v>
      </c>
      <c r="R14" t="s">
        <v>1373</v>
      </c>
      <c r="T14" t="s">
        <v>1214</v>
      </c>
      <c r="U14" t="s">
        <v>1215</v>
      </c>
      <c r="V14" t="s">
        <v>1216</v>
      </c>
      <c r="W14" s="6" t="s">
        <v>1217</v>
      </c>
      <c r="X14" t="s">
        <v>1206</v>
      </c>
    </row>
    <row r="15" spans="1:24" ht="136.5" customHeight="1" x14ac:dyDescent="0.25">
      <c r="E15" s="12">
        <v>13</v>
      </c>
      <c r="F15" s="12">
        <v>120000</v>
      </c>
      <c r="G15" s="12" t="s">
        <v>1224</v>
      </c>
      <c r="I15" s="12" t="s">
        <v>1252</v>
      </c>
      <c r="J15" s="13" t="s">
        <v>1253</v>
      </c>
      <c r="L15" s="12" t="s">
        <v>1282</v>
      </c>
      <c r="M15" s="13" t="s">
        <v>1338</v>
      </c>
      <c r="R15" t="s">
        <v>1374</v>
      </c>
    </row>
    <row r="16" spans="1:24" ht="61.5" customHeight="1" x14ac:dyDescent="0.25">
      <c r="E16" s="12">
        <v>14</v>
      </c>
      <c r="F16" s="12">
        <v>140000</v>
      </c>
      <c r="G16" s="12" t="s">
        <v>1224</v>
      </c>
      <c r="I16" s="12" t="s">
        <v>77</v>
      </c>
      <c r="J16" s="13" t="s">
        <v>1254</v>
      </c>
      <c r="L16" s="12" t="s">
        <v>1283</v>
      </c>
      <c r="M16" s="13" t="s">
        <v>1334</v>
      </c>
      <c r="R16" t="s">
        <v>1375</v>
      </c>
    </row>
    <row r="17" spans="5:13" ht="136.5" customHeight="1" x14ac:dyDescent="0.25">
      <c r="E17" s="12">
        <v>15</v>
      </c>
      <c r="F17" s="12">
        <v>165000</v>
      </c>
      <c r="G17" s="12" t="s">
        <v>1224</v>
      </c>
      <c r="I17" s="12" t="s">
        <v>1255</v>
      </c>
      <c r="J17" s="13" t="s">
        <v>1256</v>
      </c>
      <c r="L17" s="12" t="s">
        <v>1284</v>
      </c>
      <c r="M17" s="13"/>
    </row>
    <row r="18" spans="5:13" ht="241.5" customHeight="1" x14ac:dyDescent="0.25">
      <c r="E18" s="12">
        <v>16</v>
      </c>
      <c r="F18" s="12">
        <v>195000</v>
      </c>
      <c r="G18" s="12" t="s">
        <v>1224</v>
      </c>
      <c r="I18" s="12" t="s">
        <v>1257</v>
      </c>
      <c r="J18" s="13" t="s">
        <v>1258</v>
      </c>
      <c r="L18" s="12" t="s">
        <v>1285</v>
      </c>
      <c r="M18" s="13" t="s">
        <v>1335</v>
      </c>
    </row>
    <row r="19" spans="5:13" ht="31.5" customHeight="1" x14ac:dyDescent="0.25">
      <c r="E19" s="12">
        <v>17</v>
      </c>
      <c r="F19" s="12">
        <v>225000</v>
      </c>
      <c r="G19" s="12" t="s">
        <v>1225</v>
      </c>
      <c r="I19" s="12" t="s">
        <v>1259</v>
      </c>
      <c r="J19" s="13" t="s">
        <v>1260</v>
      </c>
      <c r="L19" s="12" t="s">
        <v>1286</v>
      </c>
      <c r="M19" s="13"/>
    </row>
    <row r="20" spans="5:13" ht="136.5" customHeight="1" x14ac:dyDescent="0.25">
      <c r="E20" s="12">
        <v>18</v>
      </c>
      <c r="F20" s="12">
        <v>265000</v>
      </c>
      <c r="G20" s="12" t="s">
        <v>1225</v>
      </c>
      <c r="I20" s="12" t="s">
        <v>1261</v>
      </c>
      <c r="J20" s="13" t="s">
        <v>1262</v>
      </c>
      <c r="L20" s="12" t="s">
        <v>1287</v>
      </c>
      <c r="M20" s="13" t="s">
        <v>1339</v>
      </c>
    </row>
    <row r="21" spans="5:13" ht="121.5" customHeight="1" x14ac:dyDescent="0.25">
      <c r="E21" s="12">
        <v>19</v>
      </c>
      <c r="F21" s="12">
        <v>305000</v>
      </c>
      <c r="G21" s="12" t="s">
        <v>1225</v>
      </c>
      <c r="I21" s="12" t="s">
        <v>1263</v>
      </c>
      <c r="J21" s="13" t="s">
        <v>1264</v>
      </c>
      <c r="L21" s="12" t="s">
        <v>9</v>
      </c>
      <c r="M21" s="13"/>
    </row>
    <row r="22" spans="5:13" ht="106.5" customHeight="1" x14ac:dyDescent="0.25">
      <c r="E22" s="12">
        <v>20</v>
      </c>
      <c r="F22" s="12">
        <v>355000</v>
      </c>
      <c r="G22" s="12" t="s">
        <v>1225</v>
      </c>
      <c r="I22" s="12" t="s">
        <v>1265</v>
      </c>
      <c r="J22" s="13" t="s">
        <v>1266</v>
      </c>
      <c r="L22" s="12" t="s">
        <v>1288</v>
      </c>
      <c r="M22" s="13"/>
    </row>
    <row r="23" spans="5:13" ht="181.5" customHeight="1" x14ac:dyDescent="0.25">
      <c r="I23" s="12" t="s">
        <v>1267</v>
      </c>
      <c r="J23" s="13" t="s">
        <v>1268</v>
      </c>
      <c r="L23" s="12" t="s">
        <v>1289</v>
      </c>
      <c r="M23" s="13"/>
    </row>
    <row r="24" spans="5:13" ht="31.5" customHeight="1" x14ac:dyDescent="0.25">
      <c r="L24" s="12" t="s">
        <v>1290</v>
      </c>
      <c r="M24" s="13" t="s">
        <v>1338</v>
      </c>
    </row>
    <row r="25" spans="5:13" ht="31.5" customHeight="1" x14ac:dyDescent="0.25">
      <c r="L25" s="12" t="s">
        <v>1291</v>
      </c>
      <c r="M25" s="13" t="s">
        <v>1340</v>
      </c>
    </row>
    <row r="26" spans="5:13" ht="16.5" customHeight="1" x14ac:dyDescent="0.25">
      <c r="L26" s="12" t="s">
        <v>1292</v>
      </c>
      <c r="M26" s="13"/>
    </row>
    <row r="27" spans="5:13" ht="46.5" customHeight="1" x14ac:dyDescent="0.25">
      <c r="L27" s="12" t="s">
        <v>1293</v>
      </c>
      <c r="M27" s="13" t="s">
        <v>1341</v>
      </c>
    </row>
    <row r="28" spans="5:13" ht="46.5" customHeight="1" x14ac:dyDescent="0.25">
      <c r="L28" s="12" t="s">
        <v>1294</v>
      </c>
      <c r="M28" s="13" t="s">
        <v>1341</v>
      </c>
    </row>
    <row r="29" spans="5:13" ht="46.5" customHeight="1" x14ac:dyDescent="0.25">
      <c r="L29" s="12" t="s">
        <v>1295</v>
      </c>
      <c r="M29" s="13" t="s">
        <v>1341</v>
      </c>
    </row>
    <row r="30" spans="5:13" ht="16.5" customHeight="1" x14ac:dyDescent="0.25">
      <c r="L30" s="12" t="s">
        <v>1296</v>
      </c>
      <c r="M30" s="13"/>
    </row>
    <row r="31" spans="5:13" ht="16.5" customHeight="1" x14ac:dyDescent="0.25">
      <c r="L31" s="12" t="s">
        <v>622</v>
      </c>
      <c r="M31" s="13"/>
    </row>
    <row r="32" spans="5:13" ht="16.5" customHeight="1" x14ac:dyDescent="0.25">
      <c r="L32" s="12" t="s">
        <v>652</v>
      </c>
      <c r="M32" s="13"/>
    </row>
    <row r="33" spans="12:13" ht="16.5" customHeight="1" x14ac:dyDescent="0.25">
      <c r="L33" s="12" t="s">
        <v>1297</v>
      </c>
      <c r="M33" s="13"/>
    </row>
    <row r="34" spans="12:13" ht="76.5" customHeight="1" x14ac:dyDescent="0.25">
      <c r="L34" s="12" t="s">
        <v>1298</v>
      </c>
      <c r="M34" s="13" t="s">
        <v>1342</v>
      </c>
    </row>
    <row r="35" spans="12:13" ht="16.5" customHeight="1" x14ac:dyDescent="0.25">
      <c r="L35" s="12" t="s">
        <v>181</v>
      </c>
      <c r="M35" s="13"/>
    </row>
    <row r="36" spans="12:13" ht="16.5" customHeight="1" x14ac:dyDescent="0.25">
      <c r="L36" s="12" t="s">
        <v>503</v>
      </c>
      <c r="M36" s="13"/>
    </row>
    <row r="37" spans="12:13" ht="16.5" customHeight="1" x14ac:dyDescent="0.25">
      <c r="L37" s="12" t="s">
        <v>584</v>
      </c>
      <c r="M37" s="13"/>
    </row>
    <row r="38" spans="12:13" ht="121.5" customHeight="1" x14ac:dyDescent="0.25">
      <c r="L38" s="12" t="s">
        <v>627</v>
      </c>
      <c r="M38" s="13" t="s">
        <v>1343</v>
      </c>
    </row>
    <row r="39" spans="12:13" ht="16.5" customHeight="1" x14ac:dyDescent="0.25">
      <c r="L39" s="12" t="s">
        <v>743</v>
      </c>
      <c r="M39" s="13"/>
    </row>
    <row r="40" spans="12:13" ht="106.5" customHeight="1" x14ac:dyDescent="0.25">
      <c r="L40" s="12" t="s">
        <v>1038</v>
      </c>
      <c r="M40" s="13" t="s">
        <v>1344</v>
      </c>
    </row>
    <row r="41" spans="12:13" ht="46.5" customHeight="1" x14ac:dyDescent="0.25">
      <c r="L41" s="12" t="s">
        <v>1299</v>
      </c>
      <c r="M41" s="13" t="s">
        <v>1345</v>
      </c>
    </row>
    <row r="42" spans="12:13" ht="241.5" customHeight="1" x14ac:dyDescent="0.25">
      <c r="L42" s="12" t="s">
        <v>1300</v>
      </c>
      <c r="M42" s="13" t="s">
        <v>1346</v>
      </c>
    </row>
    <row r="43" spans="12:13" ht="16.5" customHeight="1" x14ac:dyDescent="0.25">
      <c r="L43" s="12" t="s">
        <v>1301</v>
      </c>
      <c r="M43" s="13"/>
    </row>
    <row r="44" spans="12:13" ht="16.5" customHeight="1" x14ac:dyDescent="0.25">
      <c r="L44" s="12" t="s">
        <v>1302</v>
      </c>
      <c r="M44" s="13"/>
    </row>
    <row r="45" spans="12:13" x14ac:dyDescent="0.25">
      <c r="L45" s="12" t="s">
        <v>1303</v>
      </c>
      <c r="M45" s="13"/>
    </row>
    <row r="46" spans="12:13" ht="75" x14ac:dyDescent="0.25">
      <c r="L46" s="12" t="s">
        <v>1304</v>
      </c>
      <c r="M46" s="13" t="s">
        <v>1347</v>
      </c>
    </row>
    <row r="47" spans="12:13" ht="30" x14ac:dyDescent="0.25">
      <c r="L47" s="12" t="s">
        <v>1305</v>
      </c>
      <c r="M47" s="13" t="s">
        <v>1338</v>
      </c>
    </row>
    <row r="48" spans="12:13" x14ac:dyDescent="0.25">
      <c r="L48" s="12" t="s">
        <v>1306</v>
      </c>
      <c r="M48" s="13"/>
    </row>
    <row r="49" spans="12:13" x14ac:dyDescent="0.25">
      <c r="L49" s="12" t="s">
        <v>1307</v>
      </c>
      <c r="M49" s="13"/>
    </row>
    <row r="50" spans="12:13" x14ac:dyDescent="0.25">
      <c r="L50" s="12" t="s">
        <v>1308</v>
      </c>
      <c r="M50" s="13"/>
    </row>
    <row r="51" spans="12:13" x14ac:dyDescent="0.25">
      <c r="L51" s="12" t="s">
        <v>1309</v>
      </c>
      <c r="M51" s="13"/>
    </row>
    <row r="52" spans="12:13" x14ac:dyDescent="0.25">
      <c r="L52" s="12" t="s">
        <v>1310</v>
      </c>
      <c r="M52" s="13"/>
    </row>
    <row r="53" spans="12:13" x14ac:dyDescent="0.25">
      <c r="L53" s="12" t="s">
        <v>1311</v>
      </c>
      <c r="M53" s="13"/>
    </row>
    <row r="54" spans="12:13" x14ac:dyDescent="0.25">
      <c r="L54" s="12" t="s">
        <v>1312</v>
      </c>
      <c r="M54" s="13"/>
    </row>
    <row r="55" spans="12:13" x14ac:dyDescent="0.25">
      <c r="L55" s="12" t="s">
        <v>1313</v>
      </c>
      <c r="M55" s="13"/>
    </row>
    <row r="56" spans="12:13" x14ac:dyDescent="0.25">
      <c r="L56" s="12" t="s">
        <v>1314</v>
      </c>
      <c r="M56" s="13"/>
    </row>
    <row r="57" spans="12:13" x14ac:dyDescent="0.25">
      <c r="L57" s="12" t="s">
        <v>1315</v>
      </c>
      <c r="M57" s="13"/>
    </row>
    <row r="58" spans="12:13" x14ac:dyDescent="0.25">
      <c r="L58" s="12" t="s">
        <v>1316</v>
      </c>
      <c r="M58" s="13"/>
    </row>
    <row r="59" spans="12:13" x14ac:dyDescent="0.25">
      <c r="L59" s="12" t="s">
        <v>1317</v>
      </c>
      <c r="M59" s="13"/>
    </row>
    <row r="60" spans="12:13" x14ac:dyDescent="0.25">
      <c r="L60" s="12" t="s">
        <v>1318</v>
      </c>
      <c r="M60" s="13"/>
    </row>
    <row r="61" spans="12:13" x14ac:dyDescent="0.25">
      <c r="L61" s="12" t="s">
        <v>1319</v>
      </c>
      <c r="M61" s="13"/>
    </row>
    <row r="62" spans="12:13" x14ac:dyDescent="0.25">
      <c r="L62" s="12" t="s">
        <v>1320</v>
      </c>
      <c r="M62" s="13"/>
    </row>
    <row r="63" spans="12:13" x14ac:dyDescent="0.25">
      <c r="L63" s="12" t="s">
        <v>1321</v>
      </c>
      <c r="M63" s="13"/>
    </row>
    <row r="64" spans="12:13" x14ac:dyDescent="0.25">
      <c r="L64" s="12" t="s">
        <v>1322</v>
      </c>
      <c r="M64"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activeCell="AW11" sqref="AW11"/>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153" t="s">
        <v>1048</v>
      </c>
      <c r="B1" s="153"/>
      <c r="D1" s="153" t="s">
        <v>1069</v>
      </c>
      <c r="E1" s="153"/>
      <c r="G1" s="153" t="s">
        <v>1070</v>
      </c>
      <c r="H1" s="153"/>
      <c r="J1" s="7"/>
      <c r="K1" s="7"/>
      <c r="L1" s="7"/>
      <c r="M1" s="7"/>
    </row>
    <row r="2" spans="1:13" s="10" customFormat="1" x14ac:dyDescent="0.25">
      <c r="A2" s="10" t="s">
        <v>1048</v>
      </c>
      <c r="B2" s="11" t="s">
        <v>1049</v>
      </c>
      <c r="D2" s="11" t="s">
        <v>1047</v>
      </c>
      <c r="E2" s="11" t="s">
        <v>1049</v>
      </c>
      <c r="G2" s="10" t="s">
        <v>1071</v>
      </c>
      <c r="H2" s="10" t="s">
        <v>1049</v>
      </c>
    </row>
    <row r="3" spans="1:13" ht="75" x14ac:dyDescent="0.25">
      <c r="A3" s="7" t="s">
        <v>1050</v>
      </c>
      <c r="B3" s="8" t="s">
        <v>1051</v>
      </c>
      <c r="D3" s="8" t="s">
        <v>1060</v>
      </c>
      <c r="E3" s="8" t="s">
        <v>1046</v>
      </c>
      <c r="G3" s="8" t="s">
        <v>1060</v>
      </c>
      <c r="H3" s="8" t="s">
        <v>1046</v>
      </c>
      <c r="J3" s="7"/>
      <c r="K3" s="7"/>
      <c r="L3" s="7"/>
      <c r="M3" s="7"/>
    </row>
    <row r="4" spans="1:13" ht="150" x14ac:dyDescent="0.25">
      <c r="A4" s="7" t="s">
        <v>1052</v>
      </c>
      <c r="B4" s="8" t="s">
        <v>1053</v>
      </c>
      <c r="D4" s="8" t="s">
        <v>1377</v>
      </c>
      <c r="E4" s="8" t="s">
        <v>1061</v>
      </c>
      <c r="G4" s="7" t="s">
        <v>1072</v>
      </c>
      <c r="H4" s="8" t="s">
        <v>1073</v>
      </c>
      <c r="J4" s="7"/>
      <c r="K4" s="7"/>
      <c r="L4" s="7"/>
      <c r="M4" s="7"/>
    </row>
    <row r="5" spans="1:13" ht="195" x14ac:dyDescent="0.25">
      <c r="A5" s="7" t="s">
        <v>1054</v>
      </c>
      <c r="B5" s="8" t="s">
        <v>1055</v>
      </c>
      <c r="D5" s="8" t="s">
        <v>1382</v>
      </c>
      <c r="E5" s="8" t="s">
        <v>1062</v>
      </c>
      <c r="G5" s="7" t="s">
        <v>1074</v>
      </c>
      <c r="H5" s="8" t="s">
        <v>1075</v>
      </c>
      <c r="J5" s="7"/>
      <c r="K5" s="7"/>
      <c r="L5" s="7"/>
      <c r="M5" s="7"/>
    </row>
    <row r="6" spans="1:13" ht="240" x14ac:dyDescent="0.25">
      <c r="A6" s="7" t="s">
        <v>1056</v>
      </c>
      <c r="B6" s="8" t="s">
        <v>1057</v>
      </c>
      <c r="D6" s="8" t="s">
        <v>1063</v>
      </c>
      <c r="E6" s="8" t="s">
        <v>1064</v>
      </c>
      <c r="G6" s="7" t="s">
        <v>1076</v>
      </c>
      <c r="H6" s="8" t="s">
        <v>1077</v>
      </c>
      <c r="J6" s="7"/>
      <c r="K6" s="7"/>
      <c r="L6" s="7"/>
      <c r="M6" s="7"/>
    </row>
    <row r="7" spans="1:13" ht="165" x14ac:dyDescent="0.25">
      <c r="A7" s="7" t="s">
        <v>1058</v>
      </c>
      <c r="B7" s="8" t="s">
        <v>1059</v>
      </c>
      <c r="D7" s="8" t="s">
        <v>1065</v>
      </c>
      <c r="E7" s="8" t="s">
        <v>1066</v>
      </c>
      <c r="G7" s="7" t="s">
        <v>1078</v>
      </c>
      <c r="H7" s="8" t="s">
        <v>1079</v>
      </c>
      <c r="J7" s="7"/>
      <c r="K7" s="7"/>
      <c r="L7" s="7"/>
      <c r="M7" s="7"/>
    </row>
    <row r="8" spans="1:13" ht="105" x14ac:dyDescent="0.25">
      <c r="D8" s="8" t="s">
        <v>1067</v>
      </c>
      <c r="E8" s="8" t="s">
        <v>1068</v>
      </c>
      <c r="G8" s="7" t="s">
        <v>1080</v>
      </c>
      <c r="H8" s="8" t="s">
        <v>1081</v>
      </c>
      <c r="J8" s="7"/>
      <c r="K8" s="7"/>
      <c r="L8" s="7"/>
      <c r="M8" s="7"/>
    </row>
    <row r="9" spans="1:13" ht="60" x14ac:dyDescent="0.25">
      <c r="G9" s="7" t="s">
        <v>1082</v>
      </c>
      <c r="H9" s="8" t="s">
        <v>1083</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V63"/>
  <sheetViews>
    <sheetView showRowColHeaders="0" tabSelected="1" zoomScale="96" zoomScaleNormal="96" workbookViewId="0">
      <selection activeCell="J9" sqref="J9:R10"/>
    </sheetView>
  </sheetViews>
  <sheetFormatPr defaultColWidth="2.28515625" defaultRowHeight="12" customHeight="1" x14ac:dyDescent="0.25"/>
  <cols>
    <col min="1" max="1" width="2.28515625" style="100" customWidth="1"/>
    <col min="2" max="36" width="2.28515625" style="100"/>
    <col min="37" max="99" width="2.28515625" style="100" customWidth="1"/>
    <col min="100" max="16384" width="2.28515625" style="100"/>
  </cols>
  <sheetData>
    <row r="1" spans="1:100" ht="12" customHeight="1" x14ac:dyDescent="0.25">
      <c r="A1" s="194"/>
      <c r="B1" s="194"/>
      <c r="C1" s="194"/>
      <c r="D1" s="194"/>
      <c r="E1" s="194"/>
      <c r="F1" s="194"/>
      <c r="G1" s="18"/>
      <c r="H1" s="18"/>
      <c r="I1" s="18"/>
      <c r="J1" s="18"/>
      <c r="K1" s="18"/>
      <c r="L1" s="18"/>
      <c r="M1" s="18"/>
      <c r="N1" s="18"/>
      <c r="O1" s="104"/>
      <c r="P1" s="104"/>
      <c r="Q1" s="104"/>
      <c r="R1" s="105"/>
      <c r="S1" s="219" t="s">
        <v>1378</v>
      </c>
      <c r="T1" s="219"/>
      <c r="U1" s="219"/>
      <c r="V1" s="219"/>
      <c r="W1" s="219"/>
      <c r="X1" s="197" t="s">
        <v>1054</v>
      </c>
      <c r="Y1" s="198"/>
      <c r="Z1" s="198"/>
      <c r="AA1" s="198"/>
      <c r="AB1" s="198"/>
      <c r="AC1" s="198"/>
      <c r="AD1" s="198"/>
      <c r="AE1" s="198"/>
      <c r="AF1" s="198"/>
      <c r="AG1" s="198"/>
      <c r="AH1" s="198"/>
      <c r="AI1" s="198"/>
      <c r="AJ1" s="198"/>
      <c r="AK1" s="144"/>
      <c r="AL1" s="145"/>
      <c r="AM1" s="145"/>
      <c r="AN1" s="145"/>
      <c r="AO1" s="145"/>
      <c r="AP1" s="145"/>
      <c r="AQ1" s="145"/>
      <c r="AR1" s="116"/>
      <c r="AS1" s="117"/>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15"/>
      <c r="BV1" s="116"/>
      <c r="BW1" s="116"/>
      <c r="BX1" s="116"/>
      <c r="BY1" s="116"/>
      <c r="BZ1" s="116"/>
      <c r="CA1" s="116"/>
      <c r="CB1" s="116"/>
      <c r="CC1" s="116"/>
      <c r="CD1" s="116"/>
      <c r="CE1" s="116"/>
      <c r="CF1" s="116"/>
      <c r="CG1" s="116"/>
      <c r="CH1" s="116"/>
      <c r="CI1" s="116"/>
      <c r="CJ1" s="116"/>
      <c r="CK1" s="116"/>
      <c r="CL1" s="116"/>
      <c r="CM1" s="116"/>
      <c r="CN1" s="116"/>
      <c r="CO1" s="116"/>
      <c r="CP1" s="116"/>
      <c r="CQ1" s="116"/>
      <c r="CR1" s="116"/>
      <c r="CS1" s="116"/>
      <c r="CT1" s="116"/>
      <c r="CU1" s="117"/>
    </row>
    <row r="2" spans="1:100" ht="12" customHeight="1" x14ac:dyDescent="0.25">
      <c r="A2" s="194"/>
      <c r="B2" s="194"/>
      <c r="C2" s="194"/>
      <c r="D2" s="194"/>
      <c r="E2" s="194"/>
      <c r="F2" s="194"/>
      <c r="G2" s="18"/>
      <c r="H2" s="18"/>
      <c r="I2" s="18"/>
      <c r="J2" s="18"/>
      <c r="K2" s="18"/>
      <c r="L2" s="18"/>
      <c r="M2" s="18"/>
      <c r="N2" s="18"/>
      <c r="O2" s="104"/>
      <c r="P2" s="104"/>
      <c r="Q2" s="104"/>
      <c r="R2" s="106"/>
      <c r="S2" s="219" t="s">
        <v>1379</v>
      </c>
      <c r="T2" s="219"/>
      <c r="U2" s="219"/>
      <c r="V2" s="219"/>
      <c r="W2" s="219"/>
      <c r="X2" s="197" t="s">
        <v>1381</v>
      </c>
      <c r="Y2" s="198"/>
      <c r="Z2" s="198"/>
      <c r="AA2" s="198"/>
      <c r="AB2" s="198"/>
      <c r="AC2" s="198"/>
      <c r="AD2" s="198"/>
      <c r="AE2" s="198"/>
      <c r="AF2" s="198"/>
      <c r="AG2" s="198"/>
      <c r="AH2" s="198"/>
      <c r="AI2" s="198"/>
      <c r="AJ2" s="198"/>
      <c r="AK2" s="146"/>
      <c r="AL2" s="147"/>
      <c r="AM2" s="147"/>
      <c r="AN2" s="147"/>
      <c r="AO2" s="147"/>
      <c r="AP2" s="147"/>
      <c r="AQ2" s="147"/>
      <c r="AR2" s="104"/>
      <c r="AS2" s="118"/>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26"/>
      <c r="BV2" s="104"/>
      <c r="BW2" s="104"/>
      <c r="BX2" s="104"/>
      <c r="BY2" s="104"/>
      <c r="BZ2" s="104"/>
      <c r="CA2" s="104"/>
      <c r="CB2" s="104"/>
      <c r="CC2" s="104"/>
      <c r="CD2" s="104"/>
      <c r="CE2" s="104"/>
      <c r="CF2" s="104"/>
      <c r="CG2" s="104"/>
      <c r="CH2" s="104"/>
      <c r="CI2" s="104"/>
      <c r="CJ2" s="104"/>
      <c r="CK2" s="104"/>
      <c r="CL2" s="104"/>
      <c r="CM2" s="104"/>
      <c r="CN2" s="104"/>
      <c r="CO2" s="104"/>
      <c r="CP2" s="104"/>
      <c r="CQ2" s="104"/>
      <c r="CR2" s="104"/>
      <c r="CS2" s="104"/>
      <c r="CT2" s="104"/>
      <c r="CU2" s="118"/>
    </row>
    <row r="3" spans="1:100" ht="12" customHeight="1" x14ac:dyDescent="0.25">
      <c r="A3" s="194"/>
      <c r="B3" s="194"/>
      <c r="C3" s="194"/>
      <c r="D3" s="194"/>
      <c r="E3" s="194"/>
      <c r="F3" s="194"/>
      <c r="G3" s="18"/>
      <c r="H3" s="18"/>
      <c r="I3" s="18"/>
      <c r="J3" s="18"/>
      <c r="K3" s="18"/>
      <c r="L3" s="18"/>
      <c r="M3" s="18"/>
      <c r="N3" s="18"/>
      <c r="O3" s="104"/>
      <c r="P3" s="22"/>
      <c r="Q3" s="22"/>
      <c r="R3" s="105"/>
      <c r="S3" s="219" t="s">
        <v>1380</v>
      </c>
      <c r="T3" s="219"/>
      <c r="U3" s="219"/>
      <c r="V3" s="219"/>
      <c r="W3" s="219"/>
      <c r="X3" s="220" t="s">
        <v>1072</v>
      </c>
      <c r="Y3" s="221"/>
      <c r="Z3" s="221"/>
      <c r="AA3" s="221"/>
      <c r="AB3" s="221"/>
      <c r="AC3" s="221"/>
      <c r="AD3" s="221"/>
      <c r="AE3" s="221"/>
      <c r="AF3" s="221"/>
      <c r="AG3" s="221"/>
      <c r="AH3" s="221"/>
      <c r="AI3" s="221"/>
      <c r="AJ3" s="221"/>
      <c r="AK3" s="146"/>
      <c r="AL3" s="147"/>
      <c r="AM3" s="147"/>
      <c r="AN3" s="147"/>
      <c r="AO3" s="147"/>
      <c r="AP3" s="147"/>
      <c r="AQ3" s="147"/>
      <c r="AR3" s="104"/>
      <c r="AS3" s="118"/>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26"/>
      <c r="BV3" s="104"/>
      <c r="BW3" s="104"/>
      <c r="BX3" s="104"/>
      <c r="BY3" s="104"/>
      <c r="BZ3" s="104"/>
      <c r="CA3" s="104"/>
      <c r="CB3" s="104"/>
      <c r="CC3" s="104"/>
      <c r="CD3" s="104"/>
      <c r="CE3" s="104"/>
      <c r="CF3" s="104"/>
      <c r="CG3" s="104"/>
      <c r="CH3" s="104"/>
      <c r="CI3" s="104"/>
      <c r="CJ3" s="104"/>
      <c r="CK3" s="104"/>
      <c r="CL3" s="104"/>
      <c r="CM3" s="104"/>
      <c r="CN3" s="104"/>
      <c r="CO3" s="104"/>
      <c r="CP3" s="104"/>
      <c r="CQ3" s="104"/>
      <c r="CR3" s="104"/>
      <c r="CS3" s="104"/>
      <c r="CT3" s="104"/>
      <c r="CU3" s="118"/>
    </row>
    <row r="4" spans="1:100" ht="12" customHeight="1" x14ac:dyDescent="0.25">
      <c r="A4" s="194"/>
      <c r="B4" s="194"/>
      <c r="C4" s="194"/>
      <c r="D4" s="194"/>
      <c r="E4" s="194"/>
      <c r="F4" s="194"/>
      <c r="G4" s="18"/>
      <c r="H4" s="18"/>
      <c r="I4" s="18"/>
      <c r="J4" s="18"/>
      <c r="K4" s="18"/>
      <c r="L4" s="18"/>
      <c r="M4" s="18"/>
      <c r="N4" s="104"/>
      <c r="O4" s="104"/>
      <c r="P4" s="104"/>
      <c r="Q4" s="22"/>
      <c r="R4" s="106"/>
      <c r="S4" s="213" t="s">
        <v>1061</v>
      </c>
      <c r="T4" s="213"/>
      <c r="U4" s="213"/>
      <c r="V4" s="213"/>
      <c r="W4" s="213"/>
      <c r="X4" s="213"/>
      <c r="Y4" s="213"/>
      <c r="Z4" s="213"/>
      <c r="AA4" s="213"/>
      <c r="AB4" s="213"/>
      <c r="AC4" s="213"/>
      <c r="AD4" s="213"/>
      <c r="AE4" s="213"/>
      <c r="AF4" s="213"/>
      <c r="AG4" s="213"/>
      <c r="AH4" s="213"/>
      <c r="AI4" s="213"/>
      <c r="AJ4" s="213"/>
      <c r="AK4" s="146"/>
      <c r="AL4" s="147"/>
      <c r="AM4" s="147"/>
      <c r="AN4" s="147"/>
      <c r="AO4" s="147"/>
      <c r="AP4" s="147"/>
      <c r="AQ4" s="147"/>
      <c r="AR4" s="104"/>
      <c r="AS4" s="118"/>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c r="BS4" s="120"/>
      <c r="BT4" s="120"/>
      <c r="BU4" s="26"/>
      <c r="BV4" s="104"/>
      <c r="BW4" s="104"/>
      <c r="BX4" s="104"/>
      <c r="BY4" s="104"/>
      <c r="BZ4" s="104"/>
      <c r="CA4" s="104"/>
      <c r="CB4" s="104"/>
      <c r="CC4" s="104"/>
      <c r="CD4" s="104"/>
      <c r="CE4" s="104"/>
      <c r="CF4" s="104"/>
      <c r="CG4" s="104"/>
      <c r="CH4" s="104"/>
      <c r="CI4" s="104"/>
      <c r="CJ4" s="104"/>
      <c r="CK4" s="104"/>
      <c r="CL4" s="104"/>
      <c r="CM4" s="104"/>
      <c r="CN4" s="104"/>
      <c r="CO4" s="104"/>
      <c r="CP4" s="104"/>
      <c r="CQ4" s="104"/>
      <c r="CR4" s="104"/>
      <c r="CS4" s="104"/>
      <c r="CT4" s="104"/>
      <c r="CU4" s="118"/>
    </row>
    <row r="5" spans="1:100" ht="12" customHeight="1" x14ac:dyDescent="0.25">
      <c r="A5" s="194"/>
      <c r="B5" s="194"/>
      <c r="C5" s="194"/>
      <c r="D5" s="194"/>
      <c r="E5" s="194"/>
      <c r="F5" s="194"/>
      <c r="G5" s="18"/>
      <c r="H5" s="18"/>
      <c r="I5" s="18"/>
      <c r="J5" s="18"/>
      <c r="K5" s="18"/>
      <c r="L5" s="18"/>
      <c r="M5" s="18"/>
      <c r="N5" s="23"/>
      <c r="O5" s="104"/>
      <c r="P5" s="104"/>
      <c r="Q5" s="22"/>
      <c r="R5" s="106"/>
      <c r="S5" s="214"/>
      <c r="T5" s="214"/>
      <c r="U5" s="214"/>
      <c r="V5" s="214"/>
      <c r="W5" s="214"/>
      <c r="X5" s="214"/>
      <c r="Y5" s="214"/>
      <c r="Z5" s="214"/>
      <c r="AA5" s="214"/>
      <c r="AB5" s="214"/>
      <c r="AC5" s="214"/>
      <c r="AD5" s="214"/>
      <c r="AE5" s="214"/>
      <c r="AF5" s="214"/>
      <c r="AG5" s="214"/>
      <c r="AH5" s="214"/>
      <c r="AI5" s="214"/>
      <c r="AJ5" s="214"/>
      <c r="AK5" s="146"/>
      <c r="AL5" s="147"/>
      <c r="AM5" s="147"/>
      <c r="AN5" s="147"/>
      <c r="AO5" s="147"/>
      <c r="AP5" s="147"/>
      <c r="AQ5" s="147"/>
      <c r="AR5" s="104"/>
      <c r="AS5" s="118"/>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26"/>
      <c r="BV5" s="104"/>
      <c r="BW5" s="104"/>
      <c r="BX5" s="104"/>
      <c r="BY5" s="104"/>
      <c r="BZ5" s="104"/>
      <c r="CA5" s="104"/>
      <c r="CB5" s="104"/>
      <c r="CC5" s="104"/>
      <c r="CD5" s="104"/>
      <c r="CE5" s="104"/>
      <c r="CF5" s="104"/>
      <c r="CG5" s="104"/>
      <c r="CH5" s="104"/>
      <c r="CI5" s="104"/>
      <c r="CJ5" s="104"/>
      <c r="CK5" s="104"/>
      <c r="CL5" s="104"/>
      <c r="CM5" s="104"/>
      <c r="CN5" s="104"/>
      <c r="CO5" s="104"/>
      <c r="CP5" s="104"/>
      <c r="CQ5" s="104"/>
      <c r="CR5" s="104"/>
      <c r="CS5" s="104"/>
      <c r="CT5" s="104"/>
      <c r="CU5" s="118"/>
    </row>
    <row r="6" spans="1:100" ht="12" customHeight="1" x14ac:dyDescent="0.25">
      <c r="A6" s="194"/>
      <c r="B6" s="194"/>
      <c r="C6" s="194"/>
      <c r="D6" s="194"/>
      <c r="E6" s="194"/>
      <c r="F6" s="194"/>
      <c r="G6" s="18"/>
      <c r="H6" s="18"/>
      <c r="I6" s="18"/>
      <c r="J6" s="18"/>
      <c r="K6" s="18"/>
      <c r="L6" s="18"/>
      <c r="M6" s="18"/>
      <c r="N6" s="23"/>
      <c r="O6" s="104"/>
      <c r="P6" s="104"/>
      <c r="Q6" s="22"/>
      <c r="R6" s="106"/>
      <c r="S6" s="214"/>
      <c r="T6" s="214"/>
      <c r="U6" s="214"/>
      <c r="V6" s="214"/>
      <c r="W6" s="214"/>
      <c r="X6" s="214"/>
      <c r="Y6" s="214"/>
      <c r="Z6" s="214"/>
      <c r="AA6" s="214"/>
      <c r="AB6" s="214"/>
      <c r="AC6" s="214"/>
      <c r="AD6" s="214"/>
      <c r="AE6" s="214"/>
      <c r="AF6" s="214"/>
      <c r="AG6" s="214"/>
      <c r="AH6" s="214"/>
      <c r="AI6" s="214"/>
      <c r="AJ6" s="214"/>
      <c r="AK6" s="146"/>
      <c r="AL6" s="147"/>
      <c r="AM6" s="147"/>
      <c r="AN6" s="147"/>
      <c r="AO6" s="147"/>
      <c r="AP6" s="147"/>
      <c r="AQ6" s="147"/>
      <c r="AR6" s="104"/>
      <c r="AS6" s="118"/>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26"/>
      <c r="BV6" s="104"/>
      <c r="BW6" s="104"/>
      <c r="BX6" s="104"/>
      <c r="BY6" s="104"/>
      <c r="BZ6" s="104"/>
      <c r="CA6" s="104"/>
      <c r="CB6" s="104"/>
      <c r="CC6" s="104"/>
      <c r="CD6" s="104"/>
      <c r="CE6" s="104"/>
      <c r="CF6" s="104"/>
      <c r="CG6" s="104"/>
      <c r="CH6" s="104"/>
      <c r="CI6" s="104"/>
      <c r="CJ6" s="104"/>
      <c r="CK6" s="104"/>
      <c r="CL6" s="104"/>
      <c r="CM6" s="104"/>
      <c r="CN6" s="104"/>
      <c r="CO6" s="104"/>
      <c r="CP6" s="104"/>
      <c r="CQ6" s="104"/>
      <c r="CR6" s="104"/>
      <c r="CS6" s="104"/>
      <c r="CT6" s="104"/>
      <c r="CU6" s="118"/>
    </row>
    <row r="7" spans="1:100" ht="12" customHeight="1" x14ac:dyDescent="0.25">
      <c r="A7" s="194"/>
      <c r="B7" s="194"/>
      <c r="C7" s="194"/>
      <c r="D7" s="194"/>
      <c r="E7" s="194"/>
      <c r="F7" s="194"/>
      <c r="G7" s="18"/>
      <c r="H7" s="18"/>
      <c r="I7" s="18"/>
      <c r="J7" s="18"/>
      <c r="K7" s="18"/>
      <c r="L7" s="18"/>
      <c r="M7" s="18"/>
      <c r="N7" s="18"/>
      <c r="O7" s="104"/>
      <c r="P7" s="104"/>
      <c r="Q7" s="104"/>
      <c r="R7" s="105"/>
      <c r="S7" s="214"/>
      <c r="T7" s="214"/>
      <c r="U7" s="214"/>
      <c r="V7" s="214"/>
      <c r="W7" s="214"/>
      <c r="X7" s="214"/>
      <c r="Y7" s="214"/>
      <c r="Z7" s="214"/>
      <c r="AA7" s="214"/>
      <c r="AB7" s="214"/>
      <c r="AC7" s="214"/>
      <c r="AD7" s="214"/>
      <c r="AE7" s="214"/>
      <c r="AF7" s="214"/>
      <c r="AG7" s="214"/>
      <c r="AH7" s="214"/>
      <c r="AI7" s="214"/>
      <c r="AJ7" s="214"/>
      <c r="AK7" s="146"/>
      <c r="AL7" s="147"/>
      <c r="AM7" s="147"/>
      <c r="AN7" s="147"/>
      <c r="AO7" s="147"/>
      <c r="AP7" s="147"/>
      <c r="AQ7" s="147"/>
      <c r="AR7" s="104"/>
      <c r="AS7" s="118"/>
      <c r="AT7" s="120"/>
      <c r="AU7" s="120"/>
      <c r="AV7" s="120"/>
      <c r="AW7" s="120"/>
      <c r="AX7" s="120"/>
      <c r="AY7" s="120"/>
      <c r="AZ7" s="120"/>
      <c r="BA7" s="120"/>
      <c r="BB7" s="120"/>
      <c r="BC7" s="120"/>
      <c r="BD7" s="120"/>
      <c r="BE7" s="120"/>
      <c r="BF7" s="120"/>
      <c r="BG7" s="120"/>
      <c r="BH7" s="120"/>
      <c r="BI7" s="120"/>
      <c r="BJ7" s="120"/>
      <c r="BK7" s="120"/>
      <c r="BL7" s="120"/>
      <c r="BM7" s="120"/>
      <c r="BN7" s="120"/>
      <c r="BO7" s="120"/>
      <c r="BP7" s="120"/>
      <c r="BQ7" s="120"/>
      <c r="BR7" s="120"/>
      <c r="BS7" s="120"/>
      <c r="BT7" s="120"/>
      <c r="BU7" s="26"/>
      <c r="BV7" s="104"/>
      <c r="BW7" s="104"/>
      <c r="BX7" s="104"/>
      <c r="BY7" s="104"/>
      <c r="BZ7" s="104"/>
      <c r="CA7" s="104"/>
      <c r="CB7" s="104"/>
      <c r="CC7" s="104"/>
      <c r="CD7" s="104"/>
      <c r="CE7" s="104"/>
      <c r="CF7" s="104"/>
      <c r="CG7" s="104"/>
      <c r="CH7" s="104"/>
      <c r="CI7" s="104"/>
      <c r="CJ7" s="104"/>
      <c r="CK7" s="104"/>
      <c r="CL7" s="104"/>
      <c r="CM7" s="104"/>
      <c r="CN7" s="104"/>
      <c r="CO7" s="104"/>
      <c r="CP7" s="104"/>
      <c r="CQ7" s="104"/>
      <c r="CR7" s="104"/>
      <c r="CS7" s="104"/>
      <c r="CT7" s="104"/>
      <c r="CU7" s="118"/>
    </row>
    <row r="8" spans="1:100" ht="12" customHeight="1" thickBot="1" x14ac:dyDescent="0.3">
      <c r="A8" s="194"/>
      <c r="B8" s="194"/>
      <c r="C8" s="194"/>
      <c r="D8" s="194"/>
      <c r="E8" s="194"/>
      <c r="F8" s="194"/>
      <c r="G8" s="18"/>
      <c r="H8" s="18"/>
      <c r="I8" s="18"/>
      <c r="J8" s="18"/>
      <c r="K8" s="18"/>
      <c r="L8" s="18"/>
      <c r="M8" s="18"/>
      <c r="N8" s="18"/>
      <c r="O8" s="104"/>
      <c r="P8" s="104"/>
      <c r="Q8" s="104"/>
      <c r="R8" s="106"/>
      <c r="S8" s="215"/>
      <c r="T8" s="215"/>
      <c r="U8" s="215"/>
      <c r="V8" s="215"/>
      <c r="W8" s="215"/>
      <c r="X8" s="215"/>
      <c r="Y8" s="215"/>
      <c r="Z8" s="215"/>
      <c r="AA8" s="215"/>
      <c r="AB8" s="215"/>
      <c r="AC8" s="215"/>
      <c r="AD8" s="215"/>
      <c r="AE8" s="215"/>
      <c r="AF8" s="215"/>
      <c r="AG8" s="215"/>
      <c r="AH8" s="215"/>
      <c r="AI8" s="215"/>
      <c r="AJ8" s="215"/>
      <c r="AK8" s="148"/>
      <c r="AL8" s="149"/>
      <c r="AM8" s="149"/>
      <c r="AN8" s="149"/>
      <c r="AO8" s="149"/>
      <c r="AP8" s="149"/>
      <c r="AQ8" s="149"/>
      <c r="AR8" s="102"/>
      <c r="AS8" s="103"/>
      <c r="AT8" s="121"/>
      <c r="AU8" s="121"/>
      <c r="AV8" s="121"/>
      <c r="AW8" s="121"/>
      <c r="AX8" s="121"/>
      <c r="AY8" s="121"/>
      <c r="AZ8" s="121"/>
      <c r="BA8" s="121"/>
      <c r="BB8" s="121"/>
      <c r="BC8" s="121"/>
      <c r="BD8" s="121"/>
      <c r="BE8" s="121"/>
      <c r="BF8" s="121"/>
      <c r="BG8" s="121"/>
      <c r="BH8" s="121"/>
      <c r="BI8" s="121"/>
      <c r="BJ8" s="121"/>
      <c r="BK8" s="121"/>
      <c r="BL8" s="121"/>
      <c r="BM8" s="121"/>
      <c r="BN8" s="121"/>
      <c r="BO8" s="121"/>
      <c r="BP8" s="121"/>
      <c r="BQ8" s="121"/>
      <c r="BR8" s="121"/>
      <c r="BS8" s="121"/>
      <c r="BT8" s="121"/>
      <c r="BU8" s="119"/>
      <c r="BV8" s="102"/>
      <c r="BW8" s="102"/>
      <c r="BX8" s="102"/>
      <c r="BY8" s="102"/>
      <c r="BZ8" s="102"/>
      <c r="CA8" s="102"/>
      <c r="CB8" s="102"/>
      <c r="CC8" s="102"/>
      <c r="CD8" s="102"/>
      <c r="CE8" s="102"/>
      <c r="CF8" s="102"/>
      <c r="CG8" s="102"/>
      <c r="CH8" s="102"/>
      <c r="CI8" s="102"/>
      <c r="CJ8" s="102"/>
      <c r="CK8" s="102"/>
      <c r="CL8" s="102"/>
      <c r="CM8" s="102"/>
      <c r="CN8" s="102"/>
      <c r="CO8" s="102"/>
      <c r="CP8" s="102"/>
      <c r="CQ8" s="102"/>
      <c r="CR8" s="102"/>
      <c r="CS8" s="102"/>
      <c r="CT8" s="102"/>
      <c r="CU8" s="103"/>
    </row>
    <row r="9" spans="1:100" ht="12" customHeight="1" x14ac:dyDescent="0.25">
      <c r="A9" s="218" t="s">
        <v>1376</v>
      </c>
      <c r="B9" s="218"/>
      <c r="C9" s="218"/>
      <c r="D9" s="107"/>
      <c r="E9" s="107"/>
      <c r="F9" s="216" t="s">
        <v>1323</v>
      </c>
      <c r="G9" s="216"/>
      <c r="H9" s="216"/>
      <c r="I9" s="217"/>
      <c r="J9" s="178" t="s">
        <v>1461</v>
      </c>
      <c r="K9" s="179"/>
      <c r="L9" s="179"/>
      <c r="M9" s="179"/>
      <c r="N9" s="179"/>
      <c r="O9" s="179"/>
      <c r="P9" s="179"/>
      <c r="Q9" s="179"/>
      <c r="R9" s="180"/>
      <c r="S9" s="195" t="s">
        <v>1462</v>
      </c>
      <c r="T9" s="196"/>
      <c r="U9" s="196"/>
      <c r="V9" s="196"/>
      <c r="W9" s="196"/>
      <c r="X9" s="196"/>
      <c r="Y9" s="196"/>
      <c r="Z9" s="196"/>
      <c r="AA9" s="196"/>
      <c r="AB9" s="195" t="s">
        <v>1463</v>
      </c>
      <c r="AC9" s="196"/>
      <c r="AD9" s="196"/>
      <c r="AE9" s="196"/>
      <c r="AF9" s="196"/>
      <c r="AG9" s="196"/>
      <c r="AH9" s="196"/>
      <c r="AI9" s="196"/>
      <c r="AJ9" s="196"/>
      <c r="AK9" s="178" t="s">
        <v>1469</v>
      </c>
      <c r="AL9" s="179"/>
      <c r="AM9" s="179"/>
      <c r="AN9" s="179"/>
      <c r="AO9" s="179"/>
      <c r="AP9" s="179"/>
      <c r="AQ9" s="179"/>
      <c r="AR9" s="179"/>
      <c r="AS9" s="179"/>
      <c r="AT9" s="195" t="s">
        <v>1464</v>
      </c>
      <c r="AU9" s="196"/>
      <c r="AV9" s="196"/>
      <c r="AW9" s="196"/>
      <c r="AX9" s="196"/>
      <c r="AY9" s="196"/>
      <c r="AZ9" s="196"/>
      <c r="BA9" s="196"/>
      <c r="BB9" s="196"/>
      <c r="BC9" s="195" t="s">
        <v>1470</v>
      </c>
      <c r="BD9" s="196"/>
      <c r="BE9" s="196"/>
      <c r="BF9" s="196"/>
      <c r="BG9" s="196"/>
      <c r="BH9" s="196"/>
      <c r="BI9" s="196"/>
      <c r="BJ9" s="196"/>
      <c r="BK9" s="196"/>
      <c r="BL9" s="195" t="s">
        <v>1471</v>
      </c>
      <c r="BM9" s="196"/>
      <c r="BN9" s="196"/>
      <c r="BO9" s="196"/>
      <c r="BP9" s="196"/>
      <c r="BQ9" s="196"/>
      <c r="BR9" s="196"/>
      <c r="BS9" s="196"/>
      <c r="BT9" s="196"/>
      <c r="BU9" s="195" t="s">
        <v>1465</v>
      </c>
      <c r="BV9" s="196"/>
      <c r="BW9" s="196"/>
      <c r="BX9" s="196"/>
      <c r="BY9" s="196"/>
      <c r="BZ9" s="196"/>
      <c r="CA9" s="196"/>
      <c r="CB9" s="196"/>
      <c r="CC9" s="196"/>
      <c r="CD9" s="195" t="s">
        <v>1472</v>
      </c>
      <c r="CE9" s="196"/>
      <c r="CF9" s="196"/>
      <c r="CG9" s="196"/>
      <c r="CH9" s="196"/>
      <c r="CI9" s="196"/>
      <c r="CJ9" s="196"/>
      <c r="CK9" s="196"/>
      <c r="CL9" s="196"/>
      <c r="CM9" s="195" t="s">
        <v>1473</v>
      </c>
      <c r="CN9" s="196"/>
      <c r="CO9" s="196"/>
      <c r="CP9" s="196"/>
      <c r="CQ9" s="196"/>
      <c r="CR9" s="196"/>
      <c r="CS9" s="196"/>
      <c r="CT9" s="196"/>
      <c r="CU9" s="207"/>
      <c r="CV9" s="101"/>
    </row>
    <row r="10" spans="1:100" ht="12" customHeight="1" x14ac:dyDescent="0.25">
      <c r="A10" s="25"/>
      <c r="B10" s="25"/>
      <c r="C10" s="25"/>
      <c r="D10" s="25"/>
      <c r="E10" s="25"/>
      <c r="F10" s="166"/>
      <c r="G10" s="166"/>
      <c r="H10" s="166"/>
      <c r="I10" s="167"/>
      <c r="J10" s="176"/>
      <c r="K10" s="177"/>
      <c r="L10" s="177"/>
      <c r="M10" s="177"/>
      <c r="N10" s="177"/>
      <c r="O10" s="177"/>
      <c r="P10" s="177"/>
      <c r="Q10" s="177"/>
      <c r="R10" s="181"/>
      <c r="S10" s="176"/>
      <c r="T10" s="177"/>
      <c r="U10" s="177"/>
      <c r="V10" s="177"/>
      <c r="W10" s="177"/>
      <c r="X10" s="177"/>
      <c r="Y10" s="177"/>
      <c r="Z10" s="177"/>
      <c r="AA10" s="177"/>
      <c r="AB10" s="176"/>
      <c r="AC10" s="177"/>
      <c r="AD10" s="177"/>
      <c r="AE10" s="177"/>
      <c r="AF10" s="177"/>
      <c r="AG10" s="177"/>
      <c r="AH10" s="177"/>
      <c r="AI10" s="177"/>
      <c r="AJ10" s="177"/>
      <c r="AK10" s="176"/>
      <c r="AL10" s="177"/>
      <c r="AM10" s="177"/>
      <c r="AN10" s="177"/>
      <c r="AO10" s="177"/>
      <c r="AP10" s="177"/>
      <c r="AQ10" s="177"/>
      <c r="AR10" s="177"/>
      <c r="AS10" s="177"/>
      <c r="AT10" s="176"/>
      <c r="AU10" s="177"/>
      <c r="AV10" s="177"/>
      <c r="AW10" s="177"/>
      <c r="AX10" s="177"/>
      <c r="AY10" s="177"/>
      <c r="AZ10" s="177"/>
      <c r="BA10" s="177"/>
      <c r="BB10" s="177"/>
      <c r="BC10" s="176"/>
      <c r="BD10" s="177"/>
      <c r="BE10" s="177"/>
      <c r="BF10" s="177"/>
      <c r="BG10" s="177"/>
      <c r="BH10" s="177"/>
      <c r="BI10" s="177"/>
      <c r="BJ10" s="177"/>
      <c r="BK10" s="177"/>
      <c r="BL10" s="176"/>
      <c r="BM10" s="177"/>
      <c r="BN10" s="177"/>
      <c r="BO10" s="177"/>
      <c r="BP10" s="177"/>
      <c r="BQ10" s="177"/>
      <c r="BR10" s="177"/>
      <c r="BS10" s="177"/>
      <c r="BT10" s="177"/>
      <c r="BU10" s="176"/>
      <c r="BV10" s="177"/>
      <c r="BW10" s="177"/>
      <c r="BX10" s="177"/>
      <c r="BY10" s="177"/>
      <c r="BZ10" s="177"/>
      <c r="CA10" s="177"/>
      <c r="CB10" s="177"/>
      <c r="CC10" s="177"/>
      <c r="CD10" s="176"/>
      <c r="CE10" s="177"/>
      <c r="CF10" s="177"/>
      <c r="CG10" s="177"/>
      <c r="CH10" s="177"/>
      <c r="CI10" s="177"/>
      <c r="CJ10" s="177"/>
      <c r="CK10" s="177"/>
      <c r="CL10" s="177"/>
      <c r="CM10" s="176"/>
      <c r="CN10" s="177"/>
      <c r="CO10" s="177"/>
      <c r="CP10" s="177"/>
      <c r="CQ10" s="177"/>
      <c r="CR10" s="177"/>
      <c r="CS10" s="177"/>
      <c r="CT10" s="177"/>
      <c r="CU10" s="181"/>
      <c r="CV10" s="101"/>
    </row>
    <row r="11" spans="1:100" ht="12" customHeight="1" x14ac:dyDescent="0.25">
      <c r="A11" s="166" t="s">
        <v>1324</v>
      </c>
      <c r="B11" s="166"/>
      <c r="C11" s="166"/>
      <c r="D11" s="166"/>
      <c r="E11" s="166"/>
      <c r="F11" s="166"/>
      <c r="G11" s="166"/>
      <c r="H11" s="166"/>
      <c r="I11" s="167"/>
      <c r="J11" s="176" t="s">
        <v>1482</v>
      </c>
      <c r="K11" s="177"/>
      <c r="L11" s="177"/>
      <c r="M11" s="177"/>
      <c r="N11" s="177"/>
      <c r="O11" s="177"/>
      <c r="P11" s="177"/>
      <c r="Q11" s="177"/>
      <c r="R11" s="177"/>
      <c r="S11" s="176" t="s">
        <v>1481</v>
      </c>
      <c r="T11" s="177"/>
      <c r="U11" s="177"/>
      <c r="V11" s="177"/>
      <c r="W11" s="177"/>
      <c r="X11" s="177"/>
      <c r="Y11" s="177"/>
      <c r="Z11" s="177"/>
      <c r="AA11" s="177"/>
      <c r="AB11" s="176" t="s">
        <v>1480</v>
      </c>
      <c r="AC11" s="177"/>
      <c r="AD11" s="177"/>
      <c r="AE11" s="177"/>
      <c r="AF11" s="177"/>
      <c r="AG11" s="177"/>
      <c r="AH11" s="177"/>
      <c r="AI11" s="177"/>
      <c r="AJ11" s="177"/>
      <c r="AK11" s="176" t="s">
        <v>1479</v>
      </c>
      <c r="AL11" s="177"/>
      <c r="AM11" s="177"/>
      <c r="AN11" s="177"/>
      <c r="AO11" s="177"/>
      <c r="AP11" s="177"/>
      <c r="AQ11" s="177"/>
      <c r="AR11" s="177"/>
      <c r="AS11" s="177"/>
      <c r="AT11" s="176" t="s">
        <v>1478</v>
      </c>
      <c r="AU11" s="177"/>
      <c r="AV11" s="177"/>
      <c r="AW11" s="177"/>
      <c r="AX11" s="177"/>
      <c r="AY11" s="177"/>
      <c r="AZ11" s="177"/>
      <c r="BA11" s="177"/>
      <c r="BB11" s="177"/>
      <c r="BC11" s="176" t="s">
        <v>1477</v>
      </c>
      <c r="BD11" s="177"/>
      <c r="BE11" s="177"/>
      <c r="BF11" s="177"/>
      <c r="BG11" s="177"/>
      <c r="BH11" s="177"/>
      <c r="BI11" s="177"/>
      <c r="BJ11" s="177"/>
      <c r="BK11" s="177"/>
      <c r="BL11" s="176" t="s">
        <v>1476</v>
      </c>
      <c r="BM11" s="177"/>
      <c r="BN11" s="177"/>
      <c r="BO11" s="177"/>
      <c r="BP11" s="177"/>
      <c r="BQ11" s="177"/>
      <c r="BR11" s="177"/>
      <c r="BS11" s="177"/>
      <c r="BT11" s="177"/>
      <c r="BU11" s="176" t="s">
        <v>1475</v>
      </c>
      <c r="BV11" s="177"/>
      <c r="BW11" s="177"/>
      <c r="BX11" s="177"/>
      <c r="BY11" s="177"/>
      <c r="BZ11" s="177"/>
      <c r="CA11" s="177"/>
      <c r="CB11" s="177"/>
      <c r="CC11" s="177"/>
      <c r="CD11" s="176" t="s">
        <v>1466</v>
      </c>
      <c r="CE11" s="177"/>
      <c r="CF11" s="177"/>
      <c r="CG11" s="177"/>
      <c r="CH11" s="177"/>
      <c r="CI11" s="177"/>
      <c r="CJ11" s="177"/>
      <c r="CK11" s="177"/>
      <c r="CL11" s="177"/>
      <c r="CM11" s="176" t="s">
        <v>1474</v>
      </c>
      <c r="CN11" s="177"/>
      <c r="CO11" s="177"/>
      <c r="CP11" s="177"/>
      <c r="CQ11" s="177"/>
      <c r="CR11" s="177"/>
      <c r="CS11" s="177"/>
      <c r="CT11" s="177"/>
      <c r="CU11" s="181"/>
      <c r="CV11" s="101"/>
    </row>
    <row r="12" spans="1:100" ht="12" customHeight="1" x14ac:dyDescent="0.25">
      <c r="A12" s="166"/>
      <c r="B12" s="166"/>
      <c r="C12" s="166"/>
      <c r="D12" s="166"/>
      <c r="E12" s="166"/>
      <c r="F12" s="166"/>
      <c r="G12" s="166"/>
      <c r="H12" s="166"/>
      <c r="I12" s="167"/>
      <c r="J12" s="176"/>
      <c r="K12" s="177"/>
      <c r="L12" s="177"/>
      <c r="M12" s="177"/>
      <c r="N12" s="177"/>
      <c r="O12" s="177"/>
      <c r="P12" s="177"/>
      <c r="Q12" s="177"/>
      <c r="R12" s="177"/>
      <c r="S12" s="176"/>
      <c r="T12" s="177"/>
      <c r="U12" s="177"/>
      <c r="V12" s="177"/>
      <c r="W12" s="177"/>
      <c r="X12" s="177"/>
      <c r="Y12" s="177"/>
      <c r="Z12" s="177"/>
      <c r="AA12" s="177"/>
      <c r="AB12" s="176"/>
      <c r="AC12" s="177"/>
      <c r="AD12" s="177"/>
      <c r="AE12" s="177"/>
      <c r="AF12" s="177"/>
      <c r="AG12" s="177"/>
      <c r="AH12" s="177"/>
      <c r="AI12" s="177"/>
      <c r="AJ12" s="177"/>
      <c r="AK12" s="176"/>
      <c r="AL12" s="177"/>
      <c r="AM12" s="177"/>
      <c r="AN12" s="177"/>
      <c r="AO12" s="177"/>
      <c r="AP12" s="177"/>
      <c r="AQ12" s="177"/>
      <c r="AR12" s="177"/>
      <c r="AS12" s="177"/>
      <c r="AT12" s="176"/>
      <c r="AU12" s="177"/>
      <c r="AV12" s="177"/>
      <c r="AW12" s="177"/>
      <c r="AX12" s="177"/>
      <c r="AY12" s="177"/>
      <c r="AZ12" s="177"/>
      <c r="BA12" s="177"/>
      <c r="BB12" s="177"/>
      <c r="BC12" s="176"/>
      <c r="BD12" s="177"/>
      <c r="BE12" s="177"/>
      <c r="BF12" s="177"/>
      <c r="BG12" s="177"/>
      <c r="BH12" s="177"/>
      <c r="BI12" s="177"/>
      <c r="BJ12" s="177"/>
      <c r="BK12" s="177"/>
      <c r="BL12" s="176"/>
      <c r="BM12" s="177"/>
      <c r="BN12" s="177"/>
      <c r="BO12" s="177"/>
      <c r="BP12" s="177"/>
      <c r="BQ12" s="177"/>
      <c r="BR12" s="177"/>
      <c r="BS12" s="177"/>
      <c r="BT12" s="177"/>
      <c r="BU12" s="176"/>
      <c r="BV12" s="177"/>
      <c r="BW12" s="177"/>
      <c r="BX12" s="177"/>
      <c r="BY12" s="177"/>
      <c r="BZ12" s="177"/>
      <c r="CA12" s="177"/>
      <c r="CB12" s="177"/>
      <c r="CC12" s="177"/>
      <c r="CD12" s="176"/>
      <c r="CE12" s="177"/>
      <c r="CF12" s="177"/>
      <c r="CG12" s="177"/>
      <c r="CH12" s="177"/>
      <c r="CI12" s="177"/>
      <c r="CJ12" s="177"/>
      <c r="CK12" s="177"/>
      <c r="CL12" s="177"/>
      <c r="CM12" s="176"/>
      <c r="CN12" s="177"/>
      <c r="CO12" s="177"/>
      <c r="CP12" s="177"/>
      <c r="CQ12" s="177"/>
      <c r="CR12" s="177"/>
      <c r="CS12" s="177"/>
      <c r="CT12" s="177"/>
      <c r="CU12" s="181"/>
      <c r="CV12" s="101"/>
    </row>
    <row r="13" spans="1:100" ht="12" customHeight="1" x14ac:dyDescent="0.25">
      <c r="A13" s="166" t="s">
        <v>1325</v>
      </c>
      <c r="B13" s="166"/>
      <c r="C13" s="166"/>
      <c r="D13" s="166"/>
      <c r="E13" s="166"/>
      <c r="F13" s="166"/>
      <c r="G13" s="166"/>
      <c r="H13" s="166"/>
      <c r="I13" s="167"/>
      <c r="J13" s="176" t="s">
        <v>1086</v>
      </c>
      <c r="K13" s="177"/>
      <c r="L13" s="177"/>
      <c r="M13" s="177"/>
      <c r="N13" s="177"/>
      <c r="O13" s="177"/>
      <c r="P13" s="177"/>
      <c r="Q13" s="177"/>
      <c r="R13" s="177"/>
      <c r="S13" s="176"/>
      <c r="T13" s="177"/>
      <c r="U13" s="177"/>
      <c r="V13" s="177"/>
      <c r="W13" s="177"/>
      <c r="X13" s="177"/>
      <c r="Y13" s="177"/>
      <c r="Z13" s="177"/>
      <c r="AA13" s="177"/>
      <c r="AB13" s="176" t="s">
        <v>1086</v>
      </c>
      <c r="AC13" s="177"/>
      <c r="AD13" s="177"/>
      <c r="AE13" s="177"/>
      <c r="AF13" s="177"/>
      <c r="AG13" s="177"/>
      <c r="AH13" s="177"/>
      <c r="AI13" s="177"/>
      <c r="AJ13" s="177"/>
      <c r="AK13" s="176" t="s">
        <v>1086</v>
      </c>
      <c r="AL13" s="177"/>
      <c r="AM13" s="177"/>
      <c r="AN13" s="177"/>
      <c r="AO13" s="177"/>
      <c r="AP13" s="177"/>
      <c r="AQ13" s="177"/>
      <c r="AR13" s="177"/>
      <c r="AS13" s="177"/>
      <c r="AT13" s="176" t="s">
        <v>1086</v>
      </c>
      <c r="AU13" s="177"/>
      <c r="AV13" s="177"/>
      <c r="AW13" s="177"/>
      <c r="AX13" s="177"/>
      <c r="AY13" s="177"/>
      <c r="AZ13" s="177"/>
      <c r="BA13" s="177"/>
      <c r="BB13" s="177"/>
      <c r="BC13" s="176"/>
      <c r="BD13" s="177"/>
      <c r="BE13" s="177"/>
      <c r="BF13" s="177"/>
      <c r="BG13" s="177"/>
      <c r="BH13" s="177"/>
      <c r="BI13" s="177"/>
      <c r="BJ13" s="177"/>
      <c r="BK13" s="177"/>
      <c r="BL13" s="176"/>
      <c r="BM13" s="177"/>
      <c r="BN13" s="177"/>
      <c r="BO13" s="177"/>
      <c r="BP13" s="177"/>
      <c r="BQ13" s="177"/>
      <c r="BR13" s="177"/>
      <c r="BS13" s="177"/>
      <c r="BT13" s="177"/>
      <c r="BU13" s="176" t="s">
        <v>1086</v>
      </c>
      <c r="BV13" s="177"/>
      <c r="BW13" s="177"/>
      <c r="BX13" s="177"/>
      <c r="BY13" s="177"/>
      <c r="BZ13" s="177"/>
      <c r="CA13" s="177"/>
      <c r="CB13" s="177"/>
      <c r="CC13" s="177"/>
      <c r="CD13" s="176"/>
      <c r="CE13" s="177"/>
      <c r="CF13" s="177"/>
      <c r="CG13" s="177"/>
      <c r="CH13" s="177"/>
      <c r="CI13" s="177"/>
      <c r="CJ13" s="177"/>
      <c r="CK13" s="177"/>
      <c r="CL13" s="177"/>
      <c r="CM13" s="176" t="s">
        <v>1086</v>
      </c>
      <c r="CN13" s="177"/>
      <c r="CO13" s="177"/>
      <c r="CP13" s="177"/>
      <c r="CQ13" s="177"/>
      <c r="CR13" s="177"/>
      <c r="CS13" s="177"/>
      <c r="CT13" s="177"/>
      <c r="CU13" s="181"/>
      <c r="CV13" s="101"/>
    </row>
    <row r="14" spans="1:100" ht="12" customHeight="1" x14ac:dyDescent="0.25">
      <c r="A14" s="166"/>
      <c r="B14" s="166"/>
      <c r="C14" s="166"/>
      <c r="D14" s="166"/>
      <c r="E14" s="166"/>
      <c r="F14" s="166"/>
      <c r="G14" s="166"/>
      <c r="H14" s="166"/>
      <c r="I14" s="167"/>
      <c r="J14" s="176"/>
      <c r="K14" s="177"/>
      <c r="L14" s="177"/>
      <c r="M14" s="177"/>
      <c r="N14" s="177"/>
      <c r="O14" s="177"/>
      <c r="P14" s="177"/>
      <c r="Q14" s="177"/>
      <c r="R14" s="177"/>
      <c r="S14" s="176"/>
      <c r="T14" s="177"/>
      <c r="U14" s="177"/>
      <c r="V14" s="177"/>
      <c r="W14" s="177"/>
      <c r="X14" s="177"/>
      <c r="Y14" s="177"/>
      <c r="Z14" s="177"/>
      <c r="AA14" s="177"/>
      <c r="AB14" s="176"/>
      <c r="AC14" s="177"/>
      <c r="AD14" s="177"/>
      <c r="AE14" s="177"/>
      <c r="AF14" s="177"/>
      <c r="AG14" s="177"/>
      <c r="AH14" s="177"/>
      <c r="AI14" s="177"/>
      <c r="AJ14" s="177"/>
      <c r="AK14" s="176"/>
      <c r="AL14" s="177"/>
      <c r="AM14" s="177"/>
      <c r="AN14" s="177"/>
      <c r="AO14" s="177"/>
      <c r="AP14" s="177"/>
      <c r="AQ14" s="177"/>
      <c r="AR14" s="177"/>
      <c r="AS14" s="177"/>
      <c r="AT14" s="176"/>
      <c r="AU14" s="177"/>
      <c r="AV14" s="177"/>
      <c r="AW14" s="177"/>
      <c r="AX14" s="177"/>
      <c r="AY14" s="177"/>
      <c r="AZ14" s="177"/>
      <c r="BA14" s="177"/>
      <c r="BB14" s="177"/>
      <c r="BC14" s="176"/>
      <c r="BD14" s="177"/>
      <c r="BE14" s="177"/>
      <c r="BF14" s="177"/>
      <c r="BG14" s="177"/>
      <c r="BH14" s="177"/>
      <c r="BI14" s="177"/>
      <c r="BJ14" s="177"/>
      <c r="BK14" s="177"/>
      <c r="BL14" s="176"/>
      <c r="BM14" s="177"/>
      <c r="BN14" s="177"/>
      <c r="BO14" s="177"/>
      <c r="BP14" s="177"/>
      <c r="BQ14" s="177"/>
      <c r="BR14" s="177"/>
      <c r="BS14" s="177"/>
      <c r="BT14" s="177"/>
      <c r="BU14" s="176"/>
      <c r="BV14" s="177"/>
      <c r="BW14" s="177"/>
      <c r="BX14" s="177"/>
      <c r="BY14" s="177"/>
      <c r="BZ14" s="177"/>
      <c r="CA14" s="177"/>
      <c r="CB14" s="177"/>
      <c r="CC14" s="177"/>
      <c r="CD14" s="176"/>
      <c r="CE14" s="177"/>
      <c r="CF14" s="177"/>
      <c r="CG14" s="177"/>
      <c r="CH14" s="177"/>
      <c r="CI14" s="177"/>
      <c r="CJ14" s="177"/>
      <c r="CK14" s="177"/>
      <c r="CL14" s="177"/>
      <c r="CM14" s="176"/>
      <c r="CN14" s="177"/>
      <c r="CO14" s="177"/>
      <c r="CP14" s="177"/>
      <c r="CQ14" s="177"/>
      <c r="CR14" s="177"/>
      <c r="CS14" s="177"/>
      <c r="CT14" s="177"/>
      <c r="CU14" s="181"/>
      <c r="CV14" s="101"/>
    </row>
    <row r="15" spans="1:100" ht="12" customHeight="1" x14ac:dyDescent="0.25">
      <c r="A15" s="166" t="s">
        <v>1088</v>
      </c>
      <c r="B15" s="166"/>
      <c r="C15" s="166"/>
      <c r="D15" s="166"/>
      <c r="E15" s="166"/>
      <c r="F15" s="166"/>
      <c r="G15" s="166"/>
      <c r="H15" s="166"/>
      <c r="I15" s="167"/>
      <c r="J15" s="182">
        <f ca="1">MATCH(J17,INDIRECT("Levels[XP]"),1)</f>
        <v>2</v>
      </c>
      <c r="K15" s="183"/>
      <c r="L15" s="183"/>
      <c r="M15" s="183"/>
      <c r="N15" s="183"/>
      <c r="O15" s="183"/>
      <c r="P15" s="183"/>
      <c r="Q15" s="183"/>
      <c r="R15" s="183"/>
      <c r="S15" s="182">
        <f ca="1">MATCH(S17,INDIRECT("Levels[XP]"),1)</f>
        <v>5</v>
      </c>
      <c r="T15" s="183"/>
      <c r="U15" s="183"/>
      <c r="V15" s="183"/>
      <c r="W15" s="183"/>
      <c r="X15" s="183"/>
      <c r="Y15" s="183"/>
      <c r="Z15" s="183"/>
      <c r="AA15" s="183"/>
      <c r="AB15" s="182">
        <f t="shared" ref="AB15" ca="1" si="0">MATCH(AB17,INDIRECT("Levels[XP]"),1)</f>
        <v>15</v>
      </c>
      <c r="AC15" s="183"/>
      <c r="AD15" s="183"/>
      <c r="AE15" s="183"/>
      <c r="AF15" s="183"/>
      <c r="AG15" s="183"/>
      <c r="AH15" s="183"/>
      <c r="AI15" s="183"/>
      <c r="AJ15" s="183"/>
      <c r="AK15" s="182">
        <f t="shared" ref="AK15" ca="1" si="1">MATCH(AK17,INDIRECT("Levels[XP]"),1)</f>
        <v>19</v>
      </c>
      <c r="AL15" s="183"/>
      <c r="AM15" s="183"/>
      <c r="AN15" s="183"/>
      <c r="AO15" s="183"/>
      <c r="AP15" s="183"/>
      <c r="AQ15" s="183"/>
      <c r="AR15" s="183"/>
      <c r="AS15" s="183"/>
      <c r="AT15" s="182">
        <f t="shared" ref="AT15" ca="1" si="2">MATCH(AT17,INDIRECT("Levels[XP]"),1)</f>
        <v>1</v>
      </c>
      <c r="AU15" s="183"/>
      <c r="AV15" s="183"/>
      <c r="AW15" s="183"/>
      <c r="AX15" s="183"/>
      <c r="AY15" s="183"/>
      <c r="AZ15" s="183"/>
      <c r="BA15" s="183"/>
      <c r="BB15" s="183"/>
      <c r="BC15" s="182">
        <f t="shared" ref="BC15" ca="1" si="3">MATCH(BC17,INDIRECT("Levels[XP]"),1)</f>
        <v>7</v>
      </c>
      <c r="BD15" s="183"/>
      <c r="BE15" s="183"/>
      <c r="BF15" s="183"/>
      <c r="BG15" s="183"/>
      <c r="BH15" s="183"/>
      <c r="BI15" s="183"/>
      <c r="BJ15" s="183"/>
      <c r="BK15" s="183"/>
      <c r="BL15" s="182">
        <f t="shared" ref="BL15" ca="1" si="4">MATCH(BL17,INDIRECT("Levels[XP]"),1)</f>
        <v>12</v>
      </c>
      <c r="BM15" s="183"/>
      <c r="BN15" s="183"/>
      <c r="BO15" s="183"/>
      <c r="BP15" s="183"/>
      <c r="BQ15" s="183"/>
      <c r="BR15" s="183"/>
      <c r="BS15" s="183"/>
      <c r="BT15" s="183"/>
      <c r="BU15" s="182">
        <f t="shared" ref="BU15" ca="1" si="5">MATCH(BU17,INDIRECT("Levels[XP]"),1)</f>
        <v>9</v>
      </c>
      <c r="BV15" s="183"/>
      <c r="BW15" s="183"/>
      <c r="BX15" s="183"/>
      <c r="BY15" s="183"/>
      <c r="BZ15" s="183"/>
      <c r="CA15" s="183"/>
      <c r="CB15" s="183"/>
      <c r="CC15" s="183"/>
      <c r="CD15" s="182">
        <f ca="1">MATCH(CD17,INDIRECT("Levels[XP]"),1)</f>
        <v>13</v>
      </c>
      <c r="CE15" s="183"/>
      <c r="CF15" s="183"/>
      <c r="CG15" s="183"/>
      <c r="CH15" s="183"/>
      <c r="CI15" s="183"/>
      <c r="CJ15" s="183"/>
      <c r="CK15" s="183"/>
      <c r="CL15" s="183"/>
      <c r="CM15" s="176">
        <f ca="1">MATCH(CM17,INDIRECT("Levels[XP]"),1)</f>
        <v>14</v>
      </c>
      <c r="CN15" s="177"/>
      <c r="CO15" s="177"/>
      <c r="CP15" s="177"/>
      <c r="CQ15" s="177"/>
      <c r="CR15" s="177"/>
      <c r="CS15" s="177"/>
      <c r="CT15" s="177"/>
      <c r="CU15" s="181"/>
      <c r="CV15" s="101"/>
    </row>
    <row r="16" spans="1:100" ht="12" customHeight="1" x14ac:dyDescent="0.25">
      <c r="A16" s="188" t="s">
        <v>1326</v>
      </c>
      <c r="B16" s="188"/>
      <c r="C16" s="188"/>
      <c r="D16" s="188"/>
      <c r="E16" s="188"/>
      <c r="F16" s="188"/>
      <c r="G16" s="188"/>
      <c r="H16" s="188"/>
      <c r="I16" s="189"/>
      <c r="J16" s="184">
        <f ca="1">_xlfn.IFNA(VLOOKUP(J15+1,Levels[],2,FALSE)-J17,"-")</f>
        <v>400</v>
      </c>
      <c r="K16" s="185"/>
      <c r="L16" s="185"/>
      <c r="M16" s="185"/>
      <c r="N16" s="185"/>
      <c r="O16" s="185"/>
      <c r="P16" s="185"/>
      <c r="Q16" s="185"/>
      <c r="R16" s="185"/>
      <c r="S16" s="184">
        <f ca="1">_xlfn.IFNA(VLOOKUP(S15+1,Levels[],2,FALSE)-S17,"-")</f>
        <v>4000</v>
      </c>
      <c r="T16" s="185"/>
      <c r="U16" s="185"/>
      <c r="V16" s="185"/>
      <c r="W16" s="185"/>
      <c r="X16" s="185"/>
      <c r="Y16" s="185"/>
      <c r="Z16" s="185"/>
      <c r="AA16" s="185"/>
      <c r="AB16" s="184">
        <f ca="1">_xlfn.IFNA(VLOOKUP(AB15+1,Levels[],2,FALSE)-AB17,"-")</f>
        <v>20000</v>
      </c>
      <c r="AC16" s="185"/>
      <c r="AD16" s="185"/>
      <c r="AE16" s="185"/>
      <c r="AF16" s="185"/>
      <c r="AG16" s="185"/>
      <c r="AH16" s="185"/>
      <c r="AI16" s="185"/>
      <c r="AJ16" s="185"/>
      <c r="AK16" s="184">
        <f ca="1">_xlfn.IFNA(VLOOKUP(AK15+1,Levels[],2,FALSE)-AK17,"-")</f>
        <v>1</v>
      </c>
      <c r="AL16" s="185"/>
      <c r="AM16" s="185"/>
      <c r="AN16" s="185"/>
      <c r="AO16" s="185"/>
      <c r="AP16" s="185"/>
      <c r="AQ16" s="185"/>
      <c r="AR16" s="185"/>
      <c r="AS16" s="185"/>
      <c r="AT16" s="184">
        <f ca="1">_xlfn.IFNA(VLOOKUP(AT15+1,Levels[],2,FALSE)-AT17,"-")</f>
        <v>300</v>
      </c>
      <c r="AU16" s="185"/>
      <c r="AV16" s="185"/>
      <c r="AW16" s="185"/>
      <c r="AX16" s="185"/>
      <c r="AY16" s="185"/>
      <c r="AZ16" s="185"/>
      <c r="BA16" s="185"/>
      <c r="BB16" s="185"/>
      <c r="BC16" s="184">
        <f ca="1">_xlfn.IFNA(VLOOKUP(BC15+1,Levels[],2,FALSE)-BC17,"-")</f>
        <v>4000</v>
      </c>
      <c r="BD16" s="185"/>
      <c r="BE16" s="185"/>
      <c r="BF16" s="185"/>
      <c r="BG16" s="185"/>
      <c r="BH16" s="185"/>
      <c r="BI16" s="185"/>
      <c r="BJ16" s="185"/>
      <c r="BK16" s="185"/>
      <c r="BL16" s="184">
        <f ca="1">_xlfn.IFNA(VLOOKUP(BL15+1,Levels[],2,FALSE)-BL17,"-")</f>
        <v>20000</v>
      </c>
      <c r="BM16" s="185"/>
      <c r="BN16" s="185"/>
      <c r="BO16" s="185"/>
      <c r="BP16" s="185"/>
      <c r="BQ16" s="185"/>
      <c r="BR16" s="185"/>
      <c r="BS16" s="185"/>
      <c r="BT16" s="185"/>
      <c r="BU16" s="184">
        <f ca="1">_xlfn.IFNA(VLOOKUP(BU15+1,Levels[],2,FALSE)-BU17,"-")</f>
        <v>14000</v>
      </c>
      <c r="BV16" s="185"/>
      <c r="BW16" s="185"/>
      <c r="BX16" s="185"/>
      <c r="BY16" s="185"/>
      <c r="BZ16" s="185"/>
      <c r="CA16" s="185"/>
      <c r="CB16" s="185"/>
      <c r="CC16" s="185"/>
      <c r="CD16" s="184">
        <f ca="1">_xlfn.IFNA(VLOOKUP(CD15+1,Levels[],2,FALSE)-CD17,"-")</f>
        <v>18000</v>
      </c>
      <c r="CE16" s="185"/>
      <c r="CF16" s="185"/>
      <c r="CG16" s="185"/>
      <c r="CH16" s="185"/>
      <c r="CI16" s="185"/>
      <c r="CJ16" s="185"/>
      <c r="CK16" s="185"/>
      <c r="CL16" s="185"/>
      <c r="CM16" s="162">
        <f ca="1">_xlfn.IFNA(VLOOKUP(CM15+1,Levels[],2,FALSE)-CM17,"-")</f>
        <v>10000</v>
      </c>
      <c r="CN16" s="163"/>
      <c r="CO16" s="163"/>
      <c r="CP16" s="163"/>
      <c r="CQ16" s="163"/>
      <c r="CR16" s="163"/>
      <c r="CS16" s="163"/>
      <c r="CT16" s="163"/>
      <c r="CU16" s="206"/>
      <c r="CV16" s="101"/>
    </row>
    <row r="17" spans="1:100" ht="12" customHeight="1" x14ac:dyDescent="0.25">
      <c r="A17" s="188" t="s">
        <v>1327</v>
      </c>
      <c r="B17" s="188"/>
      <c r="C17" s="188"/>
      <c r="D17" s="188"/>
      <c r="E17" s="188"/>
      <c r="F17" s="188"/>
      <c r="G17" s="188"/>
      <c r="H17" s="188"/>
      <c r="I17" s="189"/>
      <c r="J17" s="162">
        <v>500</v>
      </c>
      <c r="K17" s="163"/>
      <c r="L17" s="163"/>
      <c r="M17" s="163"/>
      <c r="N17" s="163"/>
      <c r="O17" s="163"/>
      <c r="P17" s="163"/>
      <c r="Q17" s="163"/>
      <c r="R17" s="163"/>
      <c r="S17" s="162">
        <v>10000</v>
      </c>
      <c r="T17" s="163"/>
      <c r="U17" s="163"/>
      <c r="V17" s="163"/>
      <c r="W17" s="163"/>
      <c r="X17" s="163"/>
      <c r="Y17" s="163"/>
      <c r="Z17" s="163"/>
      <c r="AA17" s="163"/>
      <c r="AB17" s="162">
        <v>175000</v>
      </c>
      <c r="AC17" s="163"/>
      <c r="AD17" s="163"/>
      <c r="AE17" s="163"/>
      <c r="AF17" s="163"/>
      <c r="AG17" s="163"/>
      <c r="AH17" s="163"/>
      <c r="AI17" s="163"/>
      <c r="AJ17" s="163"/>
      <c r="AK17" s="162">
        <v>354999</v>
      </c>
      <c r="AL17" s="163"/>
      <c r="AM17" s="163"/>
      <c r="AN17" s="163"/>
      <c r="AO17" s="163"/>
      <c r="AP17" s="163"/>
      <c r="AQ17" s="163"/>
      <c r="AR17" s="163"/>
      <c r="AS17" s="163"/>
      <c r="AT17" s="162">
        <v>0</v>
      </c>
      <c r="AU17" s="163"/>
      <c r="AV17" s="163"/>
      <c r="AW17" s="163"/>
      <c r="AX17" s="163"/>
      <c r="AY17" s="163"/>
      <c r="AZ17" s="163"/>
      <c r="BA17" s="163"/>
      <c r="BB17" s="163"/>
      <c r="BC17" s="162">
        <v>30000</v>
      </c>
      <c r="BD17" s="163"/>
      <c r="BE17" s="163"/>
      <c r="BF17" s="163"/>
      <c r="BG17" s="163"/>
      <c r="BH17" s="163"/>
      <c r="BI17" s="163"/>
      <c r="BJ17" s="163"/>
      <c r="BK17" s="163"/>
      <c r="BL17" s="162">
        <v>100000</v>
      </c>
      <c r="BM17" s="163"/>
      <c r="BN17" s="163"/>
      <c r="BO17" s="163"/>
      <c r="BP17" s="163"/>
      <c r="BQ17" s="163"/>
      <c r="BR17" s="163"/>
      <c r="BS17" s="163"/>
      <c r="BT17" s="163"/>
      <c r="BU17" s="162">
        <v>50000</v>
      </c>
      <c r="BV17" s="163"/>
      <c r="BW17" s="163"/>
      <c r="BX17" s="163"/>
      <c r="BY17" s="163"/>
      <c r="BZ17" s="163"/>
      <c r="CA17" s="163"/>
      <c r="CB17" s="163"/>
      <c r="CC17" s="163"/>
      <c r="CD17" s="162">
        <v>122000</v>
      </c>
      <c r="CE17" s="163"/>
      <c r="CF17" s="163"/>
      <c r="CG17" s="163"/>
      <c r="CH17" s="163"/>
      <c r="CI17" s="163"/>
      <c r="CJ17" s="163"/>
      <c r="CK17" s="163"/>
      <c r="CL17" s="163"/>
      <c r="CM17" s="162">
        <v>155000</v>
      </c>
      <c r="CN17" s="163"/>
      <c r="CO17" s="163"/>
      <c r="CP17" s="163"/>
      <c r="CQ17" s="163"/>
      <c r="CR17" s="163"/>
      <c r="CS17" s="163"/>
      <c r="CT17" s="163"/>
      <c r="CU17" s="206"/>
      <c r="CV17" s="101"/>
    </row>
    <row r="18" spans="1:100" ht="12" customHeight="1" x14ac:dyDescent="0.25">
      <c r="A18" s="166" t="s">
        <v>5</v>
      </c>
      <c r="B18" s="166"/>
      <c r="C18" s="166"/>
      <c r="D18" s="166"/>
      <c r="E18" s="166"/>
      <c r="F18" s="166"/>
      <c r="G18" s="166"/>
      <c r="H18" s="166"/>
      <c r="I18" s="167"/>
      <c r="J18" s="162" t="str">
        <f ca="1">VLOOKUP(J15,Levels[],3,FALSE)</f>
        <v>+2</v>
      </c>
      <c r="K18" s="163"/>
      <c r="L18" s="163"/>
      <c r="M18" s="163"/>
      <c r="N18" s="163"/>
      <c r="O18" s="163"/>
      <c r="P18" s="163"/>
      <c r="Q18" s="163"/>
      <c r="R18" s="163"/>
      <c r="S18" s="162" t="str">
        <f ca="1">VLOOKUP(S15,Levels[],3,FALSE)</f>
        <v>+3</v>
      </c>
      <c r="T18" s="163"/>
      <c r="U18" s="163"/>
      <c r="V18" s="163"/>
      <c r="W18" s="163"/>
      <c r="X18" s="163"/>
      <c r="Y18" s="163"/>
      <c r="Z18" s="163"/>
      <c r="AA18" s="163"/>
      <c r="AB18" s="162" t="str">
        <f ca="1">VLOOKUP(AB15,Levels[],3,FALSE)</f>
        <v>+5</v>
      </c>
      <c r="AC18" s="163"/>
      <c r="AD18" s="163"/>
      <c r="AE18" s="163"/>
      <c r="AF18" s="163"/>
      <c r="AG18" s="163"/>
      <c r="AH18" s="163"/>
      <c r="AI18" s="163"/>
      <c r="AJ18" s="163"/>
      <c r="AK18" s="162" t="str">
        <f ca="1">VLOOKUP(AK15,Levels[],3,FALSE)</f>
        <v>+6</v>
      </c>
      <c r="AL18" s="163"/>
      <c r="AM18" s="163"/>
      <c r="AN18" s="163"/>
      <c r="AO18" s="163"/>
      <c r="AP18" s="163"/>
      <c r="AQ18" s="163"/>
      <c r="AR18" s="163"/>
      <c r="AS18" s="163"/>
      <c r="AT18" s="162" t="str">
        <f ca="1">VLOOKUP(AT15,Levels[],3,FALSE)</f>
        <v>+2</v>
      </c>
      <c r="AU18" s="163"/>
      <c r="AV18" s="163"/>
      <c r="AW18" s="163"/>
      <c r="AX18" s="163"/>
      <c r="AY18" s="163"/>
      <c r="AZ18" s="163"/>
      <c r="BA18" s="163"/>
      <c r="BB18" s="163"/>
      <c r="BC18" s="162" t="str">
        <f ca="1">VLOOKUP(BC15,Levels[],3,FALSE)</f>
        <v>+3</v>
      </c>
      <c r="BD18" s="163"/>
      <c r="BE18" s="163"/>
      <c r="BF18" s="163"/>
      <c r="BG18" s="163"/>
      <c r="BH18" s="163"/>
      <c r="BI18" s="163"/>
      <c r="BJ18" s="163"/>
      <c r="BK18" s="163"/>
      <c r="BL18" s="162" t="str">
        <f ca="1">VLOOKUP(BL15,Levels[],3,FALSE)</f>
        <v>+4</v>
      </c>
      <c r="BM18" s="163"/>
      <c r="BN18" s="163"/>
      <c r="BO18" s="163"/>
      <c r="BP18" s="163"/>
      <c r="BQ18" s="163"/>
      <c r="BR18" s="163"/>
      <c r="BS18" s="163"/>
      <c r="BT18" s="163"/>
      <c r="BU18" s="162" t="str">
        <f ca="1">VLOOKUP(BU15,Levels[],3,FALSE)</f>
        <v>+4</v>
      </c>
      <c r="BV18" s="163"/>
      <c r="BW18" s="163"/>
      <c r="BX18" s="163"/>
      <c r="BY18" s="163"/>
      <c r="BZ18" s="163"/>
      <c r="CA18" s="163"/>
      <c r="CB18" s="163"/>
      <c r="CC18" s="163"/>
      <c r="CD18" s="162" t="str">
        <f ca="1">VLOOKUP(CD15,Levels[],3,FALSE)</f>
        <v>+5</v>
      </c>
      <c r="CE18" s="163"/>
      <c r="CF18" s="163"/>
      <c r="CG18" s="163"/>
      <c r="CH18" s="163"/>
      <c r="CI18" s="163"/>
      <c r="CJ18" s="163"/>
      <c r="CK18" s="163"/>
      <c r="CL18" s="163"/>
      <c r="CM18" s="162" t="str">
        <f ca="1">VLOOKUP(CM15,Levels[],3,FALSE)</f>
        <v>+5</v>
      </c>
      <c r="CN18" s="163"/>
      <c r="CO18" s="163"/>
      <c r="CP18" s="163"/>
      <c r="CQ18" s="163"/>
      <c r="CR18" s="163"/>
      <c r="CS18" s="163"/>
      <c r="CT18" s="163"/>
      <c r="CU18" s="206"/>
      <c r="CV18" s="101"/>
    </row>
    <row r="19" spans="1:100" ht="12" customHeight="1" x14ac:dyDescent="0.25">
      <c r="A19" s="166" t="s">
        <v>1328</v>
      </c>
      <c r="B19" s="166"/>
      <c r="C19" s="166"/>
      <c r="D19" s="166"/>
      <c r="E19" s="166"/>
      <c r="F19" s="166"/>
      <c r="G19" s="166"/>
      <c r="H19" s="166"/>
      <c r="I19" s="167"/>
      <c r="J19" s="176">
        <v>33</v>
      </c>
      <c r="K19" s="177"/>
      <c r="L19" s="177"/>
      <c r="M19" s="177"/>
      <c r="N19" s="177"/>
      <c r="O19" s="177"/>
      <c r="P19" s="177"/>
      <c r="Q19" s="177"/>
      <c r="R19" s="177"/>
      <c r="S19" s="176">
        <v>122</v>
      </c>
      <c r="T19" s="177"/>
      <c r="U19" s="177"/>
      <c r="V19" s="177"/>
      <c r="W19" s="177"/>
      <c r="X19" s="177"/>
      <c r="Y19" s="177"/>
      <c r="Z19" s="177"/>
      <c r="AA19" s="177"/>
      <c r="AB19" s="176">
        <v>55</v>
      </c>
      <c r="AC19" s="177"/>
      <c r="AD19" s="177"/>
      <c r="AE19" s="177"/>
      <c r="AF19" s="177"/>
      <c r="AG19" s="177"/>
      <c r="AH19" s="177"/>
      <c r="AI19" s="177"/>
      <c r="AJ19" s="177"/>
      <c r="AK19" s="176">
        <v>78</v>
      </c>
      <c r="AL19" s="177"/>
      <c r="AM19" s="177"/>
      <c r="AN19" s="177"/>
      <c r="AO19" s="177"/>
      <c r="AP19" s="177"/>
      <c r="AQ19" s="177"/>
      <c r="AR19" s="177"/>
      <c r="AS19" s="177"/>
      <c r="AT19" s="176">
        <v>99</v>
      </c>
      <c r="AU19" s="177"/>
      <c r="AV19" s="177"/>
      <c r="AW19" s="177"/>
      <c r="AX19" s="177"/>
      <c r="AY19" s="177"/>
      <c r="AZ19" s="177"/>
      <c r="BA19" s="177"/>
      <c r="BB19" s="177"/>
      <c r="BC19" s="176">
        <v>444</v>
      </c>
      <c r="BD19" s="177"/>
      <c r="BE19" s="177"/>
      <c r="BF19" s="177"/>
      <c r="BG19" s="177"/>
      <c r="BH19" s="177"/>
      <c r="BI19" s="177"/>
      <c r="BJ19" s="177"/>
      <c r="BK19" s="177"/>
      <c r="BL19" s="176">
        <v>355</v>
      </c>
      <c r="BM19" s="177"/>
      <c r="BN19" s="177"/>
      <c r="BO19" s="177"/>
      <c r="BP19" s="177"/>
      <c r="BQ19" s="177"/>
      <c r="BR19" s="177"/>
      <c r="BS19" s="177"/>
      <c r="BT19" s="177"/>
      <c r="BU19" s="176">
        <v>22</v>
      </c>
      <c r="BV19" s="177"/>
      <c r="BW19" s="177"/>
      <c r="BX19" s="177"/>
      <c r="BY19" s="177"/>
      <c r="BZ19" s="177"/>
      <c r="CA19" s="177"/>
      <c r="CB19" s="177"/>
      <c r="CC19" s="177"/>
      <c r="CD19" s="176">
        <v>144</v>
      </c>
      <c r="CE19" s="177"/>
      <c r="CF19" s="177"/>
      <c r="CG19" s="177"/>
      <c r="CH19" s="177"/>
      <c r="CI19" s="177"/>
      <c r="CJ19" s="177"/>
      <c r="CK19" s="177"/>
      <c r="CL19" s="177"/>
      <c r="CM19" s="176">
        <v>233</v>
      </c>
      <c r="CN19" s="177"/>
      <c r="CO19" s="177"/>
      <c r="CP19" s="177"/>
      <c r="CQ19" s="177"/>
      <c r="CR19" s="177"/>
      <c r="CS19" s="177"/>
      <c r="CT19" s="177"/>
      <c r="CU19" s="181"/>
      <c r="CV19" s="101"/>
    </row>
    <row r="20" spans="1:100" ht="12" customHeight="1" x14ac:dyDescent="0.25">
      <c r="A20" s="166" t="s">
        <v>1329</v>
      </c>
      <c r="B20" s="166"/>
      <c r="C20" s="166"/>
      <c r="D20" s="166"/>
      <c r="E20" s="166"/>
      <c r="F20" s="166"/>
      <c r="G20" s="166"/>
      <c r="H20" s="166"/>
      <c r="I20" s="167"/>
      <c r="J20" s="176">
        <v>1</v>
      </c>
      <c r="K20" s="177"/>
      <c r="L20" s="177"/>
      <c r="M20" s="177"/>
      <c r="N20" s="177"/>
      <c r="O20" s="177"/>
      <c r="P20" s="177"/>
      <c r="Q20" s="177"/>
      <c r="R20" s="177"/>
      <c r="S20" s="176">
        <f>S19-60</f>
        <v>62</v>
      </c>
      <c r="T20" s="177"/>
      <c r="U20" s="177"/>
      <c r="V20" s="177"/>
      <c r="W20" s="177"/>
      <c r="X20" s="177"/>
      <c r="Y20" s="177"/>
      <c r="Z20" s="177"/>
      <c r="AA20" s="177"/>
      <c r="AB20" s="176">
        <f>AB19-30</f>
        <v>25</v>
      </c>
      <c r="AC20" s="177"/>
      <c r="AD20" s="177"/>
      <c r="AE20" s="177"/>
      <c r="AF20" s="177"/>
      <c r="AG20" s="177"/>
      <c r="AH20" s="177"/>
      <c r="AI20" s="177"/>
      <c r="AJ20" s="177"/>
      <c r="AK20" s="176">
        <f>AK19</f>
        <v>78</v>
      </c>
      <c r="AL20" s="177"/>
      <c r="AM20" s="177"/>
      <c r="AN20" s="177"/>
      <c r="AO20" s="177"/>
      <c r="AP20" s="177"/>
      <c r="AQ20" s="177"/>
      <c r="AR20" s="177"/>
      <c r="AS20" s="177"/>
      <c r="AT20" s="176">
        <f>AT19-33</f>
        <v>66</v>
      </c>
      <c r="AU20" s="177"/>
      <c r="AV20" s="177"/>
      <c r="AW20" s="177"/>
      <c r="AX20" s="177"/>
      <c r="AY20" s="177"/>
      <c r="AZ20" s="177"/>
      <c r="BA20" s="177"/>
      <c r="BB20" s="177"/>
      <c r="BC20" s="176">
        <f>BC19-111</f>
        <v>333</v>
      </c>
      <c r="BD20" s="177"/>
      <c r="BE20" s="177"/>
      <c r="BF20" s="177"/>
      <c r="BG20" s="177"/>
      <c r="BH20" s="177"/>
      <c r="BI20" s="177"/>
      <c r="BJ20" s="177"/>
      <c r="BK20" s="177"/>
      <c r="BL20" s="176">
        <f>BL19-200</f>
        <v>155</v>
      </c>
      <c r="BM20" s="177"/>
      <c r="BN20" s="177"/>
      <c r="BO20" s="177"/>
      <c r="BP20" s="177"/>
      <c r="BQ20" s="177"/>
      <c r="BR20" s="177"/>
      <c r="BS20" s="177"/>
      <c r="BT20" s="177"/>
      <c r="BU20" s="176">
        <f>BU19-5</f>
        <v>17</v>
      </c>
      <c r="BV20" s="177"/>
      <c r="BW20" s="177"/>
      <c r="BX20" s="177"/>
      <c r="BY20" s="177"/>
      <c r="BZ20" s="177"/>
      <c r="CA20" s="177"/>
      <c r="CB20" s="177"/>
      <c r="CC20" s="177"/>
      <c r="CD20" s="176">
        <f>CD19-122</f>
        <v>22</v>
      </c>
      <c r="CE20" s="177"/>
      <c r="CF20" s="177"/>
      <c r="CG20" s="177"/>
      <c r="CH20" s="177"/>
      <c r="CI20" s="177"/>
      <c r="CJ20" s="177"/>
      <c r="CK20" s="177"/>
      <c r="CL20" s="177"/>
      <c r="CM20" s="176">
        <f>CM19-30</f>
        <v>203</v>
      </c>
      <c r="CN20" s="177"/>
      <c r="CO20" s="177"/>
      <c r="CP20" s="177"/>
      <c r="CQ20" s="177"/>
      <c r="CR20" s="177"/>
      <c r="CS20" s="177"/>
      <c r="CT20" s="177"/>
      <c r="CU20" s="181"/>
      <c r="CV20" s="101"/>
    </row>
    <row r="21" spans="1:100" ht="12" customHeight="1" x14ac:dyDescent="0.25">
      <c r="A21" s="166" t="s">
        <v>1269</v>
      </c>
      <c r="B21" s="166"/>
      <c r="C21" s="166"/>
      <c r="D21" s="166"/>
      <c r="E21" s="166"/>
      <c r="F21" s="166"/>
      <c r="G21" s="166"/>
      <c r="H21" s="166"/>
      <c r="I21" s="167"/>
      <c r="J21" s="186" t="s">
        <v>1274</v>
      </c>
      <c r="K21" s="187"/>
      <c r="L21" s="187"/>
      <c r="M21" s="187"/>
      <c r="N21" s="187"/>
      <c r="O21" s="187"/>
      <c r="P21" s="187"/>
      <c r="Q21" s="187"/>
      <c r="R21" s="187"/>
      <c r="S21" s="186" t="s">
        <v>1276</v>
      </c>
      <c r="T21" s="187"/>
      <c r="U21" s="187"/>
      <c r="V21" s="187"/>
      <c r="W21" s="187"/>
      <c r="X21" s="187"/>
      <c r="Y21" s="187"/>
      <c r="Z21" s="187"/>
      <c r="AA21" s="187"/>
      <c r="AB21" s="186" t="s">
        <v>9</v>
      </c>
      <c r="AC21" s="187"/>
      <c r="AD21" s="187"/>
      <c r="AE21" s="187"/>
      <c r="AF21" s="187"/>
      <c r="AG21" s="187"/>
      <c r="AH21" s="187"/>
      <c r="AI21" s="187"/>
      <c r="AJ21" s="187"/>
      <c r="AK21" s="186" t="s">
        <v>1292</v>
      </c>
      <c r="AL21" s="187"/>
      <c r="AM21" s="187"/>
      <c r="AN21" s="187"/>
      <c r="AO21" s="187"/>
      <c r="AP21" s="187"/>
      <c r="AQ21" s="187"/>
      <c r="AR21" s="187"/>
      <c r="AS21" s="187"/>
      <c r="AT21" s="186" t="s">
        <v>1285</v>
      </c>
      <c r="AU21" s="187"/>
      <c r="AV21" s="187"/>
      <c r="AW21" s="187"/>
      <c r="AX21" s="187"/>
      <c r="AY21" s="187"/>
      <c r="AZ21" s="187"/>
      <c r="BA21" s="187"/>
      <c r="BB21" s="187"/>
      <c r="BC21" s="186" t="s">
        <v>503</v>
      </c>
      <c r="BD21" s="187"/>
      <c r="BE21" s="187"/>
      <c r="BF21" s="187"/>
      <c r="BG21" s="187"/>
      <c r="BH21" s="187"/>
      <c r="BI21" s="187"/>
      <c r="BJ21" s="187"/>
      <c r="BK21" s="187"/>
      <c r="BL21" s="186" t="s">
        <v>1322</v>
      </c>
      <c r="BM21" s="187"/>
      <c r="BN21" s="187"/>
      <c r="BO21" s="187"/>
      <c r="BP21" s="187"/>
      <c r="BQ21" s="187"/>
      <c r="BR21" s="187"/>
      <c r="BS21" s="187"/>
      <c r="BT21" s="187"/>
      <c r="BU21" s="186" t="s">
        <v>1283</v>
      </c>
      <c r="BV21" s="187"/>
      <c r="BW21" s="187"/>
      <c r="BX21" s="187"/>
      <c r="BY21" s="187"/>
      <c r="BZ21" s="187"/>
      <c r="CA21" s="187"/>
      <c r="CB21" s="187"/>
      <c r="CC21" s="187"/>
      <c r="CD21" s="186" t="s">
        <v>1281</v>
      </c>
      <c r="CE21" s="187"/>
      <c r="CF21" s="187"/>
      <c r="CG21" s="187"/>
      <c r="CH21" s="187"/>
      <c r="CI21" s="187"/>
      <c r="CJ21" s="187"/>
      <c r="CK21" s="187"/>
      <c r="CL21" s="187"/>
      <c r="CM21" s="186" t="s">
        <v>1287</v>
      </c>
      <c r="CN21" s="187"/>
      <c r="CO21" s="187"/>
      <c r="CP21" s="187"/>
      <c r="CQ21" s="187"/>
      <c r="CR21" s="187"/>
      <c r="CS21" s="187"/>
      <c r="CT21" s="187"/>
      <c r="CU21" s="208"/>
      <c r="CV21" s="101"/>
    </row>
    <row r="22" spans="1:100" ht="12" customHeight="1" x14ac:dyDescent="0.25">
      <c r="A22" s="166"/>
      <c r="B22" s="166"/>
      <c r="C22" s="166"/>
      <c r="D22" s="166"/>
      <c r="E22" s="166"/>
      <c r="F22" s="166"/>
      <c r="G22" s="166"/>
      <c r="H22" s="166"/>
      <c r="I22" s="167"/>
      <c r="J22" s="186"/>
      <c r="K22" s="187"/>
      <c r="L22" s="187"/>
      <c r="M22" s="187"/>
      <c r="N22" s="187"/>
      <c r="O22" s="187"/>
      <c r="P22" s="187"/>
      <c r="Q22" s="187"/>
      <c r="R22" s="187"/>
      <c r="S22" s="186"/>
      <c r="T22" s="187"/>
      <c r="U22" s="187"/>
      <c r="V22" s="187"/>
      <c r="W22" s="187"/>
      <c r="X22" s="187"/>
      <c r="Y22" s="187"/>
      <c r="Z22" s="187"/>
      <c r="AA22" s="187"/>
      <c r="AB22" s="186"/>
      <c r="AC22" s="187"/>
      <c r="AD22" s="187"/>
      <c r="AE22" s="187"/>
      <c r="AF22" s="187"/>
      <c r="AG22" s="187"/>
      <c r="AH22" s="187"/>
      <c r="AI22" s="187"/>
      <c r="AJ22" s="187"/>
      <c r="AK22" s="186"/>
      <c r="AL22" s="187"/>
      <c r="AM22" s="187"/>
      <c r="AN22" s="187"/>
      <c r="AO22" s="187"/>
      <c r="AP22" s="187"/>
      <c r="AQ22" s="187"/>
      <c r="AR22" s="187"/>
      <c r="AS22" s="187"/>
      <c r="AT22" s="186"/>
      <c r="AU22" s="187"/>
      <c r="AV22" s="187"/>
      <c r="AW22" s="187"/>
      <c r="AX22" s="187"/>
      <c r="AY22" s="187"/>
      <c r="AZ22" s="187"/>
      <c r="BA22" s="187"/>
      <c r="BB22" s="187"/>
      <c r="BC22" s="186"/>
      <c r="BD22" s="187"/>
      <c r="BE22" s="187"/>
      <c r="BF22" s="187"/>
      <c r="BG22" s="187"/>
      <c r="BH22" s="187"/>
      <c r="BI22" s="187"/>
      <c r="BJ22" s="187"/>
      <c r="BK22" s="187"/>
      <c r="BL22" s="186"/>
      <c r="BM22" s="187"/>
      <c r="BN22" s="187"/>
      <c r="BO22" s="187"/>
      <c r="BP22" s="187"/>
      <c r="BQ22" s="187"/>
      <c r="BR22" s="187"/>
      <c r="BS22" s="187"/>
      <c r="BT22" s="187"/>
      <c r="BU22" s="186"/>
      <c r="BV22" s="187"/>
      <c r="BW22" s="187"/>
      <c r="BX22" s="187"/>
      <c r="BY22" s="187"/>
      <c r="BZ22" s="187"/>
      <c r="CA22" s="187"/>
      <c r="CB22" s="187"/>
      <c r="CC22" s="187"/>
      <c r="CD22" s="186"/>
      <c r="CE22" s="187"/>
      <c r="CF22" s="187"/>
      <c r="CG22" s="187"/>
      <c r="CH22" s="187"/>
      <c r="CI22" s="187"/>
      <c r="CJ22" s="187"/>
      <c r="CK22" s="187"/>
      <c r="CL22" s="187"/>
      <c r="CM22" s="186"/>
      <c r="CN22" s="187"/>
      <c r="CO22" s="187"/>
      <c r="CP22" s="187"/>
      <c r="CQ22" s="187"/>
      <c r="CR22" s="187"/>
      <c r="CS22" s="187"/>
      <c r="CT22" s="187"/>
      <c r="CU22" s="208"/>
      <c r="CV22" s="101"/>
    </row>
    <row r="23" spans="1:100" ht="12" customHeight="1" x14ac:dyDescent="0.25">
      <c r="A23" s="199"/>
      <c r="B23" s="27"/>
      <c r="C23" s="27"/>
      <c r="D23" s="27"/>
      <c r="E23" s="27"/>
      <c r="F23" s="27"/>
      <c r="G23" s="27"/>
      <c r="H23" s="27"/>
      <c r="I23" s="27"/>
      <c r="J23" s="202" t="str">
        <f>IF(_xlfn.IFNA(VLOOKUP('Player Manager'!J21,Race[],2,FALSE),"-")=0,"",_xlfn.IFNA(VLOOKUP('Player Manager'!J21,Race[],2,FALSE),""))</f>
        <v/>
      </c>
      <c r="K23" s="203"/>
      <c r="L23" s="203"/>
      <c r="M23" s="203"/>
      <c r="N23" s="203"/>
      <c r="O23" s="203"/>
      <c r="P23" s="203"/>
      <c r="Q23" s="203"/>
      <c r="R23" s="203"/>
      <c r="S23" s="202" t="str">
        <f>IF(_xlfn.IFNA(VLOOKUP('Player Manager'!S21,Race[],2,FALSE),"-")=0,"",_xlfn.IFNA(VLOOKUP('Player Manager'!S21,Race[],2,FALSE),""))</f>
        <v>Advantage on saving throws against poison, and resistance against poison damage</v>
      </c>
      <c r="T23" s="203"/>
      <c r="U23" s="203"/>
      <c r="V23" s="203"/>
      <c r="W23" s="203"/>
      <c r="X23" s="203"/>
      <c r="Y23" s="203"/>
      <c r="Z23" s="203"/>
      <c r="AA23" s="203"/>
      <c r="AB23" s="202" t="str">
        <f>IF(_xlfn.IFNA(VLOOKUP('Player Manager'!AB21,Race[],2,FALSE),"-")=0,"",_xlfn.IFNA(VLOOKUP('Player Manager'!AB21,Race[],2,FALSE),""))</f>
        <v/>
      </c>
      <c r="AC23" s="203"/>
      <c r="AD23" s="203"/>
      <c r="AE23" s="203"/>
      <c r="AF23" s="203"/>
      <c r="AG23" s="203"/>
      <c r="AH23" s="203"/>
      <c r="AI23" s="203"/>
      <c r="AJ23" s="203"/>
      <c r="AK23" s="202" t="str">
        <f>IF(_xlfn.IFNA(VLOOKUP('Player Manager'!AK21,Race[],2,FALSE),"-")=0,"",_xlfn.IFNA(VLOOKUP('Player Manager'!AK21,Race[],2,FALSE),""))</f>
        <v/>
      </c>
      <c r="AL23" s="203"/>
      <c r="AM23" s="203"/>
      <c r="AN23" s="203"/>
      <c r="AO23" s="203"/>
      <c r="AP23" s="203"/>
      <c r="AQ23" s="203"/>
      <c r="AR23" s="203"/>
      <c r="AS23" s="203"/>
      <c r="AT23" s="202" t="str">
        <f>IF(_xlfn.IFNA(VLOOKUP('Player Manager'!AT21,Race[],2,FALSE),"-")=0,"",_xlfn.IFNA(VLOOKUP('Player Manager'!AT21,Race[],2,FALSE),""))</f>
        <v>Advantage on saving throws against poison, and resistance against poison damage</v>
      </c>
      <c r="AU23" s="203"/>
      <c r="AV23" s="203"/>
      <c r="AW23" s="203"/>
      <c r="AX23" s="203"/>
      <c r="AY23" s="203"/>
      <c r="AZ23" s="203"/>
      <c r="BA23" s="203"/>
      <c r="BB23" s="203"/>
      <c r="BC23" s="202" t="str">
        <f>IF(_xlfn.IFNA(VLOOKUP('Player Manager'!BC21,Race[],2,FALSE),"-")=0,"",_xlfn.IFNA(VLOOKUP('Player Manager'!BC21,Race[],2,FALSE),""))</f>
        <v/>
      </c>
      <c r="BD23" s="203"/>
      <c r="BE23" s="203"/>
      <c r="BF23" s="203"/>
      <c r="BG23" s="203"/>
      <c r="BH23" s="203"/>
      <c r="BI23" s="203"/>
      <c r="BJ23" s="203"/>
      <c r="BK23" s="203"/>
      <c r="BL23" s="202" t="str">
        <f>IF(_xlfn.IFNA(VLOOKUP('Player Manager'!BL21,Race[],2,FALSE),"-")=0,"",_xlfn.IFNA(VLOOKUP('Player Manager'!BL21,Race[],2,FALSE),""))</f>
        <v/>
      </c>
      <c r="BM23" s="203"/>
      <c r="BN23" s="203"/>
      <c r="BO23" s="203"/>
      <c r="BP23" s="203"/>
      <c r="BQ23" s="203"/>
      <c r="BR23" s="203"/>
      <c r="BS23" s="203"/>
      <c r="BT23" s="203"/>
      <c r="BU23" s="202" t="str">
        <f>IF(_xlfn.IFNA(VLOOKUP('Player Manager'!BU21,Race[],2,FALSE),"-")=0,"",_xlfn.IFNA(VLOOKUP('Player Manager'!BU21,Race[],2,FALSE),""))</f>
        <v>Advantage on saving throws against being charmed, and magic cannot put you to sleep</v>
      </c>
      <c r="BV23" s="203"/>
      <c r="BW23" s="203"/>
      <c r="BX23" s="203"/>
      <c r="BY23" s="203"/>
      <c r="BZ23" s="203"/>
      <c r="CA23" s="203"/>
      <c r="CB23" s="203"/>
      <c r="CC23" s="203"/>
      <c r="CD23" s="202" t="str">
        <f>IF(_xlfn.IFNA(VLOOKUP('Player Manager'!CD21,Race[],2,FALSE),"-")=0,"",_xlfn.IFNA(VLOOKUP('Player Manager'!CD21,Race[],2,FALSE),""))</f>
        <v>You have advantage on saving throws against being  frightened. You have advantage on saving throws against poison, and resistance against poison damage</v>
      </c>
      <c r="CE23" s="203"/>
      <c r="CF23" s="203"/>
      <c r="CG23" s="203"/>
      <c r="CH23" s="203"/>
      <c r="CI23" s="203"/>
      <c r="CJ23" s="203"/>
      <c r="CK23" s="203"/>
      <c r="CL23" s="203"/>
      <c r="CM23" s="202" t="str">
        <f>IF(_xlfn.IFNA(VLOOKUP('Player Manager'!CM21,Race[],2,FALSE),"-")=0,"",_xlfn.IFNA(VLOOKUP('Player Manager'!CM21,Race[],2,FALSE),""))</f>
        <v>You have advantage on all intelligence, wisdom, and charisma saving throws against magic. You have advantage on Dexterity (stealth) checks to hide in rocky terrain</v>
      </c>
      <c r="CN23" s="203"/>
      <c r="CO23" s="203"/>
      <c r="CP23" s="203"/>
      <c r="CQ23" s="203"/>
      <c r="CR23" s="203"/>
      <c r="CS23" s="203"/>
      <c r="CT23" s="203"/>
      <c r="CU23" s="209"/>
      <c r="CV23" s="101"/>
    </row>
    <row r="24" spans="1:100" ht="12" customHeight="1" x14ac:dyDescent="0.25">
      <c r="A24" s="199"/>
      <c r="B24" s="27"/>
      <c r="C24" s="27"/>
      <c r="D24" s="27"/>
      <c r="E24" s="27"/>
      <c r="F24" s="27"/>
      <c r="G24" s="27"/>
      <c r="H24" s="27"/>
      <c r="I24" s="27"/>
      <c r="J24" s="202"/>
      <c r="K24" s="203"/>
      <c r="L24" s="203"/>
      <c r="M24" s="203"/>
      <c r="N24" s="203"/>
      <c r="O24" s="203"/>
      <c r="P24" s="203"/>
      <c r="Q24" s="203"/>
      <c r="R24" s="203"/>
      <c r="S24" s="202"/>
      <c r="T24" s="203"/>
      <c r="U24" s="203"/>
      <c r="V24" s="203"/>
      <c r="W24" s="203"/>
      <c r="X24" s="203"/>
      <c r="Y24" s="203"/>
      <c r="Z24" s="203"/>
      <c r="AA24" s="203"/>
      <c r="AB24" s="202"/>
      <c r="AC24" s="203"/>
      <c r="AD24" s="203"/>
      <c r="AE24" s="203"/>
      <c r="AF24" s="203"/>
      <c r="AG24" s="203"/>
      <c r="AH24" s="203"/>
      <c r="AI24" s="203"/>
      <c r="AJ24" s="203"/>
      <c r="AK24" s="202"/>
      <c r="AL24" s="203"/>
      <c r="AM24" s="203"/>
      <c r="AN24" s="203"/>
      <c r="AO24" s="203"/>
      <c r="AP24" s="203"/>
      <c r="AQ24" s="203"/>
      <c r="AR24" s="203"/>
      <c r="AS24" s="203"/>
      <c r="AT24" s="202"/>
      <c r="AU24" s="203"/>
      <c r="AV24" s="203"/>
      <c r="AW24" s="203"/>
      <c r="AX24" s="203"/>
      <c r="AY24" s="203"/>
      <c r="AZ24" s="203"/>
      <c r="BA24" s="203"/>
      <c r="BB24" s="203"/>
      <c r="BC24" s="202"/>
      <c r="BD24" s="203"/>
      <c r="BE24" s="203"/>
      <c r="BF24" s="203"/>
      <c r="BG24" s="203"/>
      <c r="BH24" s="203"/>
      <c r="BI24" s="203"/>
      <c r="BJ24" s="203"/>
      <c r="BK24" s="203"/>
      <c r="BL24" s="202"/>
      <c r="BM24" s="203"/>
      <c r="BN24" s="203"/>
      <c r="BO24" s="203"/>
      <c r="BP24" s="203"/>
      <c r="BQ24" s="203"/>
      <c r="BR24" s="203"/>
      <c r="BS24" s="203"/>
      <c r="BT24" s="203"/>
      <c r="BU24" s="202"/>
      <c r="BV24" s="203"/>
      <c r="BW24" s="203"/>
      <c r="BX24" s="203"/>
      <c r="BY24" s="203"/>
      <c r="BZ24" s="203"/>
      <c r="CA24" s="203"/>
      <c r="CB24" s="203"/>
      <c r="CC24" s="203"/>
      <c r="CD24" s="202"/>
      <c r="CE24" s="203"/>
      <c r="CF24" s="203"/>
      <c r="CG24" s="203"/>
      <c r="CH24" s="203"/>
      <c r="CI24" s="203"/>
      <c r="CJ24" s="203"/>
      <c r="CK24" s="203"/>
      <c r="CL24" s="203"/>
      <c r="CM24" s="202"/>
      <c r="CN24" s="203"/>
      <c r="CO24" s="203"/>
      <c r="CP24" s="203"/>
      <c r="CQ24" s="203"/>
      <c r="CR24" s="203"/>
      <c r="CS24" s="203"/>
      <c r="CT24" s="203"/>
      <c r="CU24" s="209"/>
      <c r="CV24" s="101"/>
    </row>
    <row r="25" spans="1:100" ht="12" customHeight="1" x14ac:dyDescent="0.25">
      <c r="A25" s="28"/>
      <c r="B25" s="190" t="s">
        <v>1356</v>
      </c>
      <c r="C25" s="190"/>
      <c r="D25" s="190"/>
      <c r="E25" s="190"/>
      <c r="F25" s="190"/>
      <c r="G25" s="190"/>
      <c r="H25" s="190"/>
      <c r="I25" s="191"/>
      <c r="J25" s="202"/>
      <c r="K25" s="203"/>
      <c r="L25" s="203"/>
      <c r="M25" s="203"/>
      <c r="N25" s="203"/>
      <c r="O25" s="203"/>
      <c r="P25" s="203"/>
      <c r="Q25" s="203"/>
      <c r="R25" s="203"/>
      <c r="S25" s="202"/>
      <c r="T25" s="203"/>
      <c r="U25" s="203"/>
      <c r="V25" s="203"/>
      <c r="W25" s="203"/>
      <c r="X25" s="203"/>
      <c r="Y25" s="203"/>
      <c r="Z25" s="203"/>
      <c r="AA25" s="203"/>
      <c r="AB25" s="202"/>
      <c r="AC25" s="203"/>
      <c r="AD25" s="203"/>
      <c r="AE25" s="203"/>
      <c r="AF25" s="203"/>
      <c r="AG25" s="203"/>
      <c r="AH25" s="203"/>
      <c r="AI25" s="203"/>
      <c r="AJ25" s="203"/>
      <c r="AK25" s="202"/>
      <c r="AL25" s="203"/>
      <c r="AM25" s="203"/>
      <c r="AN25" s="203"/>
      <c r="AO25" s="203"/>
      <c r="AP25" s="203"/>
      <c r="AQ25" s="203"/>
      <c r="AR25" s="203"/>
      <c r="AS25" s="203"/>
      <c r="AT25" s="202"/>
      <c r="AU25" s="203"/>
      <c r="AV25" s="203"/>
      <c r="AW25" s="203"/>
      <c r="AX25" s="203"/>
      <c r="AY25" s="203"/>
      <c r="AZ25" s="203"/>
      <c r="BA25" s="203"/>
      <c r="BB25" s="203"/>
      <c r="BC25" s="202"/>
      <c r="BD25" s="203"/>
      <c r="BE25" s="203"/>
      <c r="BF25" s="203"/>
      <c r="BG25" s="203"/>
      <c r="BH25" s="203"/>
      <c r="BI25" s="203"/>
      <c r="BJ25" s="203"/>
      <c r="BK25" s="203"/>
      <c r="BL25" s="202"/>
      <c r="BM25" s="203"/>
      <c r="BN25" s="203"/>
      <c r="BO25" s="203"/>
      <c r="BP25" s="203"/>
      <c r="BQ25" s="203"/>
      <c r="BR25" s="203"/>
      <c r="BS25" s="203"/>
      <c r="BT25" s="203"/>
      <c r="BU25" s="202"/>
      <c r="BV25" s="203"/>
      <c r="BW25" s="203"/>
      <c r="BX25" s="203"/>
      <c r="BY25" s="203"/>
      <c r="BZ25" s="203"/>
      <c r="CA25" s="203"/>
      <c r="CB25" s="203"/>
      <c r="CC25" s="203"/>
      <c r="CD25" s="202"/>
      <c r="CE25" s="203"/>
      <c r="CF25" s="203"/>
      <c r="CG25" s="203"/>
      <c r="CH25" s="203"/>
      <c r="CI25" s="203"/>
      <c r="CJ25" s="203"/>
      <c r="CK25" s="203"/>
      <c r="CL25" s="203"/>
      <c r="CM25" s="202"/>
      <c r="CN25" s="203"/>
      <c r="CO25" s="203"/>
      <c r="CP25" s="203"/>
      <c r="CQ25" s="203"/>
      <c r="CR25" s="203"/>
      <c r="CS25" s="203"/>
      <c r="CT25" s="203"/>
      <c r="CU25" s="209"/>
      <c r="CV25" s="101"/>
    </row>
    <row r="26" spans="1:100" ht="12" customHeight="1" x14ac:dyDescent="0.25">
      <c r="A26" s="28"/>
      <c r="B26" s="190" t="s">
        <v>1357</v>
      </c>
      <c r="C26" s="190"/>
      <c r="D26" s="190"/>
      <c r="E26" s="190"/>
      <c r="F26" s="190"/>
      <c r="G26" s="190"/>
      <c r="H26" s="190"/>
      <c r="I26" s="191"/>
      <c r="J26" s="202"/>
      <c r="K26" s="203"/>
      <c r="L26" s="203"/>
      <c r="M26" s="203"/>
      <c r="N26" s="203"/>
      <c r="O26" s="203"/>
      <c r="P26" s="203"/>
      <c r="Q26" s="203"/>
      <c r="R26" s="203"/>
      <c r="S26" s="202"/>
      <c r="T26" s="203"/>
      <c r="U26" s="203"/>
      <c r="V26" s="203"/>
      <c r="W26" s="203"/>
      <c r="X26" s="203"/>
      <c r="Y26" s="203"/>
      <c r="Z26" s="203"/>
      <c r="AA26" s="203"/>
      <c r="AB26" s="202"/>
      <c r="AC26" s="203"/>
      <c r="AD26" s="203"/>
      <c r="AE26" s="203"/>
      <c r="AF26" s="203"/>
      <c r="AG26" s="203"/>
      <c r="AH26" s="203"/>
      <c r="AI26" s="203"/>
      <c r="AJ26" s="203"/>
      <c r="AK26" s="202"/>
      <c r="AL26" s="203"/>
      <c r="AM26" s="203"/>
      <c r="AN26" s="203"/>
      <c r="AO26" s="203"/>
      <c r="AP26" s="203"/>
      <c r="AQ26" s="203"/>
      <c r="AR26" s="203"/>
      <c r="AS26" s="203"/>
      <c r="AT26" s="202"/>
      <c r="AU26" s="203"/>
      <c r="AV26" s="203"/>
      <c r="AW26" s="203"/>
      <c r="AX26" s="203"/>
      <c r="AY26" s="203"/>
      <c r="AZ26" s="203"/>
      <c r="BA26" s="203"/>
      <c r="BB26" s="203"/>
      <c r="BC26" s="202"/>
      <c r="BD26" s="203"/>
      <c r="BE26" s="203"/>
      <c r="BF26" s="203"/>
      <c r="BG26" s="203"/>
      <c r="BH26" s="203"/>
      <c r="BI26" s="203"/>
      <c r="BJ26" s="203"/>
      <c r="BK26" s="203"/>
      <c r="BL26" s="202"/>
      <c r="BM26" s="203"/>
      <c r="BN26" s="203"/>
      <c r="BO26" s="203"/>
      <c r="BP26" s="203"/>
      <c r="BQ26" s="203"/>
      <c r="BR26" s="203"/>
      <c r="BS26" s="203"/>
      <c r="BT26" s="203"/>
      <c r="BU26" s="202"/>
      <c r="BV26" s="203"/>
      <c r="BW26" s="203"/>
      <c r="BX26" s="203"/>
      <c r="BY26" s="203"/>
      <c r="BZ26" s="203"/>
      <c r="CA26" s="203"/>
      <c r="CB26" s="203"/>
      <c r="CC26" s="203"/>
      <c r="CD26" s="202"/>
      <c r="CE26" s="203"/>
      <c r="CF26" s="203"/>
      <c r="CG26" s="203"/>
      <c r="CH26" s="203"/>
      <c r="CI26" s="203"/>
      <c r="CJ26" s="203"/>
      <c r="CK26" s="203"/>
      <c r="CL26" s="203"/>
      <c r="CM26" s="202"/>
      <c r="CN26" s="203"/>
      <c r="CO26" s="203"/>
      <c r="CP26" s="203"/>
      <c r="CQ26" s="203"/>
      <c r="CR26" s="203"/>
      <c r="CS26" s="203"/>
      <c r="CT26" s="203"/>
      <c r="CU26" s="209"/>
      <c r="CV26" s="101"/>
    </row>
    <row r="27" spans="1:100" ht="12" customHeight="1" x14ac:dyDescent="0.25">
      <c r="A27" s="28"/>
      <c r="B27" s="27"/>
      <c r="C27" s="27"/>
      <c r="D27" s="27"/>
      <c r="E27" s="27"/>
      <c r="F27" s="27"/>
      <c r="G27" s="27"/>
      <c r="H27" s="27"/>
      <c r="I27" s="29"/>
      <c r="J27" s="202"/>
      <c r="K27" s="203"/>
      <c r="L27" s="203"/>
      <c r="M27" s="203"/>
      <c r="N27" s="203"/>
      <c r="O27" s="203"/>
      <c r="P27" s="203"/>
      <c r="Q27" s="203"/>
      <c r="R27" s="203"/>
      <c r="S27" s="202"/>
      <c r="T27" s="203"/>
      <c r="U27" s="203"/>
      <c r="V27" s="203"/>
      <c r="W27" s="203"/>
      <c r="X27" s="203"/>
      <c r="Y27" s="203"/>
      <c r="Z27" s="203"/>
      <c r="AA27" s="203"/>
      <c r="AB27" s="202"/>
      <c r="AC27" s="203"/>
      <c r="AD27" s="203"/>
      <c r="AE27" s="203"/>
      <c r="AF27" s="203"/>
      <c r="AG27" s="203"/>
      <c r="AH27" s="203"/>
      <c r="AI27" s="203"/>
      <c r="AJ27" s="203"/>
      <c r="AK27" s="202"/>
      <c r="AL27" s="203"/>
      <c r="AM27" s="203"/>
      <c r="AN27" s="203"/>
      <c r="AO27" s="203"/>
      <c r="AP27" s="203"/>
      <c r="AQ27" s="203"/>
      <c r="AR27" s="203"/>
      <c r="AS27" s="203"/>
      <c r="AT27" s="202"/>
      <c r="AU27" s="203"/>
      <c r="AV27" s="203"/>
      <c r="AW27" s="203"/>
      <c r="AX27" s="203"/>
      <c r="AY27" s="203"/>
      <c r="AZ27" s="203"/>
      <c r="BA27" s="203"/>
      <c r="BB27" s="203"/>
      <c r="BC27" s="202"/>
      <c r="BD27" s="203"/>
      <c r="BE27" s="203"/>
      <c r="BF27" s="203"/>
      <c r="BG27" s="203"/>
      <c r="BH27" s="203"/>
      <c r="BI27" s="203"/>
      <c r="BJ27" s="203"/>
      <c r="BK27" s="203"/>
      <c r="BL27" s="202"/>
      <c r="BM27" s="203"/>
      <c r="BN27" s="203"/>
      <c r="BO27" s="203"/>
      <c r="BP27" s="203"/>
      <c r="BQ27" s="203"/>
      <c r="BR27" s="203"/>
      <c r="BS27" s="203"/>
      <c r="BT27" s="203"/>
      <c r="BU27" s="202"/>
      <c r="BV27" s="203"/>
      <c r="BW27" s="203"/>
      <c r="BX27" s="203"/>
      <c r="BY27" s="203"/>
      <c r="BZ27" s="203"/>
      <c r="CA27" s="203"/>
      <c r="CB27" s="203"/>
      <c r="CC27" s="203"/>
      <c r="CD27" s="202"/>
      <c r="CE27" s="203"/>
      <c r="CF27" s="203"/>
      <c r="CG27" s="203"/>
      <c r="CH27" s="203"/>
      <c r="CI27" s="203"/>
      <c r="CJ27" s="203"/>
      <c r="CK27" s="203"/>
      <c r="CL27" s="203"/>
      <c r="CM27" s="202"/>
      <c r="CN27" s="203"/>
      <c r="CO27" s="203"/>
      <c r="CP27" s="203"/>
      <c r="CQ27" s="203"/>
      <c r="CR27" s="203"/>
      <c r="CS27" s="203"/>
      <c r="CT27" s="203"/>
      <c r="CU27" s="209"/>
      <c r="CV27" s="101"/>
    </row>
    <row r="28" spans="1:100" ht="12" customHeight="1" x14ac:dyDescent="0.25">
      <c r="A28" s="28"/>
      <c r="B28" s="27"/>
      <c r="C28" s="27"/>
      <c r="D28" s="27"/>
      <c r="E28" s="27"/>
      <c r="F28" s="27"/>
      <c r="G28" s="27"/>
      <c r="H28" s="27"/>
      <c r="I28" s="29"/>
      <c r="J28" s="202"/>
      <c r="K28" s="203"/>
      <c r="L28" s="203"/>
      <c r="M28" s="203"/>
      <c r="N28" s="203"/>
      <c r="O28" s="203"/>
      <c r="P28" s="203"/>
      <c r="Q28" s="203"/>
      <c r="R28" s="203"/>
      <c r="S28" s="202"/>
      <c r="T28" s="203"/>
      <c r="U28" s="203"/>
      <c r="V28" s="203"/>
      <c r="W28" s="203"/>
      <c r="X28" s="203"/>
      <c r="Y28" s="203"/>
      <c r="Z28" s="203"/>
      <c r="AA28" s="203"/>
      <c r="AB28" s="202"/>
      <c r="AC28" s="203"/>
      <c r="AD28" s="203"/>
      <c r="AE28" s="203"/>
      <c r="AF28" s="203"/>
      <c r="AG28" s="203"/>
      <c r="AH28" s="203"/>
      <c r="AI28" s="203"/>
      <c r="AJ28" s="203"/>
      <c r="AK28" s="202"/>
      <c r="AL28" s="203"/>
      <c r="AM28" s="203"/>
      <c r="AN28" s="203"/>
      <c r="AO28" s="203"/>
      <c r="AP28" s="203"/>
      <c r="AQ28" s="203"/>
      <c r="AR28" s="203"/>
      <c r="AS28" s="203"/>
      <c r="AT28" s="202"/>
      <c r="AU28" s="203"/>
      <c r="AV28" s="203"/>
      <c r="AW28" s="203"/>
      <c r="AX28" s="203"/>
      <c r="AY28" s="203"/>
      <c r="AZ28" s="203"/>
      <c r="BA28" s="203"/>
      <c r="BB28" s="203"/>
      <c r="BC28" s="202"/>
      <c r="BD28" s="203"/>
      <c r="BE28" s="203"/>
      <c r="BF28" s="203"/>
      <c r="BG28" s="203"/>
      <c r="BH28" s="203"/>
      <c r="BI28" s="203"/>
      <c r="BJ28" s="203"/>
      <c r="BK28" s="203"/>
      <c r="BL28" s="202"/>
      <c r="BM28" s="203"/>
      <c r="BN28" s="203"/>
      <c r="BO28" s="203"/>
      <c r="BP28" s="203"/>
      <c r="BQ28" s="203"/>
      <c r="BR28" s="203"/>
      <c r="BS28" s="203"/>
      <c r="BT28" s="203"/>
      <c r="BU28" s="202"/>
      <c r="BV28" s="203"/>
      <c r="BW28" s="203"/>
      <c r="BX28" s="203"/>
      <c r="BY28" s="203"/>
      <c r="BZ28" s="203"/>
      <c r="CA28" s="203"/>
      <c r="CB28" s="203"/>
      <c r="CC28" s="203"/>
      <c r="CD28" s="202"/>
      <c r="CE28" s="203"/>
      <c r="CF28" s="203"/>
      <c r="CG28" s="203"/>
      <c r="CH28" s="203"/>
      <c r="CI28" s="203"/>
      <c r="CJ28" s="203"/>
      <c r="CK28" s="203"/>
      <c r="CL28" s="203"/>
      <c r="CM28" s="202"/>
      <c r="CN28" s="203"/>
      <c r="CO28" s="203"/>
      <c r="CP28" s="203"/>
      <c r="CQ28" s="203"/>
      <c r="CR28" s="203"/>
      <c r="CS28" s="203"/>
      <c r="CT28" s="203"/>
      <c r="CU28" s="209"/>
      <c r="CV28" s="101"/>
    </row>
    <row r="29" spans="1:100" ht="12" customHeight="1" x14ac:dyDescent="0.25">
      <c r="A29" s="192"/>
      <c r="B29" s="192"/>
      <c r="C29" s="192"/>
      <c r="D29" s="192"/>
      <c r="E29" s="192"/>
      <c r="F29" s="192"/>
      <c r="G29" s="192"/>
      <c r="H29" s="192"/>
      <c r="I29" s="193"/>
      <c r="J29" s="202"/>
      <c r="K29" s="203"/>
      <c r="L29" s="203"/>
      <c r="M29" s="203"/>
      <c r="N29" s="203"/>
      <c r="O29" s="203"/>
      <c r="P29" s="203"/>
      <c r="Q29" s="203"/>
      <c r="R29" s="203"/>
      <c r="S29" s="202"/>
      <c r="T29" s="203"/>
      <c r="U29" s="203"/>
      <c r="V29" s="203"/>
      <c r="W29" s="203"/>
      <c r="X29" s="203"/>
      <c r="Y29" s="203"/>
      <c r="Z29" s="203"/>
      <c r="AA29" s="203"/>
      <c r="AB29" s="202"/>
      <c r="AC29" s="203"/>
      <c r="AD29" s="203"/>
      <c r="AE29" s="203"/>
      <c r="AF29" s="203"/>
      <c r="AG29" s="203"/>
      <c r="AH29" s="203"/>
      <c r="AI29" s="203"/>
      <c r="AJ29" s="203"/>
      <c r="AK29" s="202"/>
      <c r="AL29" s="203"/>
      <c r="AM29" s="203"/>
      <c r="AN29" s="203"/>
      <c r="AO29" s="203"/>
      <c r="AP29" s="203"/>
      <c r="AQ29" s="203"/>
      <c r="AR29" s="203"/>
      <c r="AS29" s="203"/>
      <c r="AT29" s="202"/>
      <c r="AU29" s="203"/>
      <c r="AV29" s="203"/>
      <c r="AW29" s="203"/>
      <c r="AX29" s="203"/>
      <c r="AY29" s="203"/>
      <c r="AZ29" s="203"/>
      <c r="BA29" s="203"/>
      <c r="BB29" s="203"/>
      <c r="BC29" s="202"/>
      <c r="BD29" s="203"/>
      <c r="BE29" s="203"/>
      <c r="BF29" s="203"/>
      <c r="BG29" s="203"/>
      <c r="BH29" s="203"/>
      <c r="BI29" s="203"/>
      <c r="BJ29" s="203"/>
      <c r="BK29" s="203"/>
      <c r="BL29" s="202"/>
      <c r="BM29" s="203"/>
      <c r="BN29" s="203"/>
      <c r="BO29" s="203"/>
      <c r="BP29" s="203"/>
      <c r="BQ29" s="203"/>
      <c r="BR29" s="203"/>
      <c r="BS29" s="203"/>
      <c r="BT29" s="203"/>
      <c r="BU29" s="202"/>
      <c r="BV29" s="203"/>
      <c r="BW29" s="203"/>
      <c r="BX29" s="203"/>
      <c r="BY29" s="203"/>
      <c r="BZ29" s="203"/>
      <c r="CA29" s="203"/>
      <c r="CB29" s="203"/>
      <c r="CC29" s="203"/>
      <c r="CD29" s="202"/>
      <c r="CE29" s="203"/>
      <c r="CF29" s="203"/>
      <c r="CG29" s="203"/>
      <c r="CH29" s="203"/>
      <c r="CI29" s="203"/>
      <c r="CJ29" s="203"/>
      <c r="CK29" s="203"/>
      <c r="CL29" s="203"/>
      <c r="CM29" s="202"/>
      <c r="CN29" s="203"/>
      <c r="CO29" s="203"/>
      <c r="CP29" s="203"/>
      <c r="CQ29" s="203"/>
      <c r="CR29" s="203"/>
      <c r="CS29" s="203"/>
      <c r="CT29" s="203"/>
      <c r="CU29" s="209"/>
      <c r="CV29" s="101"/>
    </row>
    <row r="30" spans="1:100" ht="12" customHeight="1" x14ac:dyDescent="0.25">
      <c r="A30" s="166" t="s">
        <v>1348</v>
      </c>
      <c r="B30" s="166"/>
      <c r="C30" s="166"/>
      <c r="D30" s="166"/>
      <c r="E30" s="166"/>
      <c r="F30" s="166"/>
      <c r="G30" s="166"/>
      <c r="H30" s="166"/>
      <c r="I30" s="167"/>
      <c r="J30" s="176" t="s">
        <v>1365</v>
      </c>
      <c r="K30" s="177"/>
      <c r="L30" s="177"/>
      <c r="M30" s="177"/>
      <c r="N30" s="177"/>
      <c r="O30" s="177"/>
      <c r="P30" s="177"/>
      <c r="Q30" s="177"/>
      <c r="R30" s="177"/>
      <c r="S30" s="176" t="s">
        <v>1372</v>
      </c>
      <c r="T30" s="177"/>
      <c r="U30" s="177"/>
      <c r="V30" s="177"/>
      <c r="W30" s="177"/>
      <c r="X30" s="177"/>
      <c r="Y30" s="177"/>
      <c r="Z30" s="177"/>
      <c r="AA30" s="177"/>
      <c r="AB30" s="176" t="s">
        <v>1375</v>
      </c>
      <c r="AC30" s="177"/>
      <c r="AD30" s="177"/>
      <c r="AE30" s="177"/>
      <c r="AF30" s="177"/>
      <c r="AG30" s="177"/>
      <c r="AH30" s="177"/>
      <c r="AI30" s="177"/>
      <c r="AJ30" s="177"/>
      <c r="AK30" s="176" t="s">
        <v>1373</v>
      </c>
      <c r="AL30" s="177"/>
      <c r="AM30" s="177"/>
      <c r="AN30" s="177"/>
      <c r="AO30" s="177"/>
      <c r="AP30" s="177"/>
      <c r="AQ30" s="177"/>
      <c r="AR30" s="177"/>
      <c r="AS30" s="177"/>
      <c r="AT30" s="176" t="s">
        <v>1366</v>
      </c>
      <c r="AU30" s="177"/>
      <c r="AV30" s="177"/>
      <c r="AW30" s="177"/>
      <c r="AX30" s="177"/>
      <c r="AY30" s="177"/>
      <c r="AZ30" s="177"/>
      <c r="BA30" s="177"/>
      <c r="BB30" s="177"/>
      <c r="BC30" s="176" t="s">
        <v>1370</v>
      </c>
      <c r="BD30" s="177"/>
      <c r="BE30" s="177"/>
      <c r="BF30" s="177"/>
      <c r="BG30" s="177"/>
      <c r="BH30" s="177"/>
      <c r="BI30" s="177"/>
      <c r="BJ30" s="177"/>
      <c r="BK30" s="177"/>
      <c r="BL30" s="176" t="s">
        <v>1364</v>
      </c>
      <c r="BM30" s="177"/>
      <c r="BN30" s="177"/>
      <c r="BO30" s="177"/>
      <c r="BP30" s="177"/>
      <c r="BQ30" s="177"/>
      <c r="BR30" s="177"/>
      <c r="BS30" s="177"/>
      <c r="BT30" s="177"/>
      <c r="BU30" s="176" t="s">
        <v>1363</v>
      </c>
      <c r="BV30" s="177"/>
      <c r="BW30" s="177"/>
      <c r="BX30" s="177"/>
      <c r="BY30" s="177"/>
      <c r="BZ30" s="177"/>
      <c r="CA30" s="177"/>
      <c r="CB30" s="177"/>
      <c r="CC30" s="177"/>
      <c r="CD30" s="176" t="s">
        <v>331</v>
      </c>
      <c r="CE30" s="177"/>
      <c r="CF30" s="177"/>
      <c r="CG30" s="177"/>
      <c r="CH30" s="177"/>
      <c r="CI30" s="177"/>
      <c r="CJ30" s="177"/>
      <c r="CK30" s="177"/>
      <c r="CL30" s="177"/>
      <c r="CM30" s="176" t="s">
        <v>1369</v>
      </c>
      <c r="CN30" s="177"/>
      <c r="CO30" s="177"/>
      <c r="CP30" s="177"/>
      <c r="CQ30" s="177"/>
      <c r="CR30" s="177"/>
      <c r="CS30" s="177"/>
      <c r="CT30" s="177"/>
      <c r="CU30" s="177"/>
      <c r="CV30" s="101"/>
    </row>
    <row r="31" spans="1:100" ht="12" customHeight="1" x14ac:dyDescent="0.25">
      <c r="A31" s="166"/>
      <c r="B31" s="166"/>
      <c r="C31" s="166"/>
      <c r="D31" s="166"/>
      <c r="E31" s="166"/>
      <c r="F31" s="166"/>
      <c r="G31" s="166"/>
      <c r="H31" s="166"/>
      <c r="I31" s="167"/>
      <c r="J31" s="176"/>
      <c r="K31" s="177"/>
      <c r="L31" s="177"/>
      <c r="M31" s="177"/>
      <c r="N31" s="177"/>
      <c r="O31" s="177"/>
      <c r="P31" s="177"/>
      <c r="Q31" s="177"/>
      <c r="R31" s="177"/>
      <c r="S31" s="176"/>
      <c r="T31" s="177"/>
      <c r="U31" s="177"/>
      <c r="V31" s="177"/>
      <c r="W31" s="177"/>
      <c r="X31" s="177"/>
      <c r="Y31" s="177"/>
      <c r="Z31" s="177"/>
      <c r="AA31" s="177"/>
      <c r="AB31" s="176"/>
      <c r="AC31" s="177"/>
      <c r="AD31" s="177"/>
      <c r="AE31" s="177"/>
      <c r="AF31" s="177"/>
      <c r="AG31" s="177"/>
      <c r="AH31" s="177"/>
      <c r="AI31" s="177"/>
      <c r="AJ31" s="177"/>
      <c r="AK31" s="176"/>
      <c r="AL31" s="177"/>
      <c r="AM31" s="177"/>
      <c r="AN31" s="177"/>
      <c r="AO31" s="177"/>
      <c r="AP31" s="177"/>
      <c r="AQ31" s="177"/>
      <c r="AR31" s="177"/>
      <c r="AS31" s="177"/>
      <c r="AT31" s="176"/>
      <c r="AU31" s="177"/>
      <c r="AV31" s="177"/>
      <c r="AW31" s="177"/>
      <c r="AX31" s="177"/>
      <c r="AY31" s="177"/>
      <c r="AZ31" s="177"/>
      <c r="BA31" s="177"/>
      <c r="BB31" s="177"/>
      <c r="BC31" s="176"/>
      <c r="BD31" s="177"/>
      <c r="BE31" s="177"/>
      <c r="BF31" s="177"/>
      <c r="BG31" s="177"/>
      <c r="BH31" s="177"/>
      <c r="BI31" s="177"/>
      <c r="BJ31" s="177"/>
      <c r="BK31" s="177"/>
      <c r="BL31" s="176"/>
      <c r="BM31" s="177"/>
      <c r="BN31" s="177"/>
      <c r="BO31" s="177"/>
      <c r="BP31" s="177"/>
      <c r="BQ31" s="177"/>
      <c r="BR31" s="177"/>
      <c r="BS31" s="177"/>
      <c r="BT31" s="177"/>
      <c r="BU31" s="176"/>
      <c r="BV31" s="177"/>
      <c r="BW31" s="177"/>
      <c r="BX31" s="177"/>
      <c r="BY31" s="177"/>
      <c r="BZ31" s="177"/>
      <c r="CA31" s="177"/>
      <c r="CB31" s="177"/>
      <c r="CC31" s="177"/>
      <c r="CD31" s="176"/>
      <c r="CE31" s="177"/>
      <c r="CF31" s="177"/>
      <c r="CG31" s="177"/>
      <c r="CH31" s="177"/>
      <c r="CI31" s="177"/>
      <c r="CJ31" s="177"/>
      <c r="CK31" s="177"/>
      <c r="CL31" s="177"/>
      <c r="CM31" s="176"/>
      <c r="CN31" s="177"/>
      <c r="CO31" s="177"/>
      <c r="CP31" s="177"/>
      <c r="CQ31" s="177"/>
      <c r="CR31" s="177"/>
      <c r="CS31" s="177"/>
      <c r="CT31" s="177"/>
      <c r="CU31" s="177"/>
      <c r="CV31" s="101"/>
    </row>
    <row r="32" spans="1:100" ht="12" customHeight="1" x14ac:dyDescent="0.25">
      <c r="A32" s="156" t="s">
        <v>1353</v>
      </c>
      <c r="B32" s="156"/>
      <c r="C32" s="156"/>
      <c r="D32" s="156"/>
      <c r="E32" s="156"/>
      <c r="F32" s="156"/>
      <c r="G32" s="156"/>
      <c r="H32" s="156"/>
      <c r="I32" s="157"/>
      <c r="J32" s="162" t="s">
        <v>1483</v>
      </c>
      <c r="K32" s="163"/>
      <c r="L32" s="163"/>
      <c r="M32" s="163"/>
      <c r="N32" s="163"/>
      <c r="O32" s="163"/>
      <c r="P32" s="163"/>
      <c r="Q32" s="163"/>
      <c r="R32" s="163"/>
      <c r="S32" s="162" t="s">
        <v>1484</v>
      </c>
      <c r="T32" s="163"/>
      <c r="U32" s="163"/>
      <c r="V32" s="163"/>
      <c r="W32" s="163"/>
      <c r="X32" s="163"/>
      <c r="Y32" s="163"/>
      <c r="Z32" s="163"/>
      <c r="AA32" s="163"/>
      <c r="AB32" s="162" t="s">
        <v>1485</v>
      </c>
      <c r="AC32" s="163"/>
      <c r="AD32" s="163"/>
      <c r="AE32" s="163"/>
      <c r="AF32" s="163"/>
      <c r="AG32" s="163"/>
      <c r="AH32" s="163"/>
      <c r="AI32" s="163"/>
      <c r="AJ32" s="163"/>
      <c r="AK32" s="162" t="s">
        <v>1486</v>
      </c>
      <c r="AL32" s="163"/>
      <c r="AM32" s="163"/>
      <c r="AN32" s="163"/>
      <c r="AO32" s="163"/>
      <c r="AP32" s="163"/>
      <c r="AQ32" s="163"/>
      <c r="AR32" s="163"/>
      <c r="AS32" s="163"/>
      <c r="AT32" s="162" t="s">
        <v>1487</v>
      </c>
      <c r="AU32" s="163"/>
      <c r="AV32" s="163"/>
      <c r="AW32" s="163"/>
      <c r="AX32" s="163"/>
      <c r="AY32" s="163"/>
      <c r="AZ32" s="163"/>
      <c r="BA32" s="163"/>
      <c r="BB32" s="163"/>
      <c r="BC32" s="162" t="s">
        <v>1484</v>
      </c>
      <c r="BD32" s="163"/>
      <c r="BE32" s="163"/>
      <c r="BF32" s="163"/>
      <c r="BG32" s="163"/>
      <c r="BH32" s="163"/>
      <c r="BI32" s="163"/>
      <c r="BJ32" s="163"/>
      <c r="BK32" s="163"/>
      <c r="BL32" s="162" t="s">
        <v>1488</v>
      </c>
      <c r="BM32" s="163"/>
      <c r="BN32" s="163"/>
      <c r="BO32" s="163"/>
      <c r="BP32" s="163"/>
      <c r="BQ32" s="163"/>
      <c r="BR32" s="163"/>
      <c r="BS32" s="163"/>
      <c r="BT32" s="163"/>
      <c r="BU32" s="162" t="s">
        <v>1491</v>
      </c>
      <c r="BV32" s="163"/>
      <c r="BW32" s="163"/>
      <c r="BX32" s="163"/>
      <c r="BY32" s="163"/>
      <c r="BZ32" s="163"/>
      <c r="CA32" s="163"/>
      <c r="CB32" s="163"/>
      <c r="CC32" s="163"/>
      <c r="CD32" s="162" t="s">
        <v>1490</v>
      </c>
      <c r="CE32" s="163"/>
      <c r="CF32" s="163"/>
      <c r="CG32" s="163"/>
      <c r="CH32" s="163"/>
      <c r="CI32" s="163"/>
      <c r="CJ32" s="163"/>
      <c r="CK32" s="163"/>
      <c r="CL32" s="163"/>
      <c r="CM32" s="162" t="s">
        <v>1489</v>
      </c>
      <c r="CN32" s="163"/>
      <c r="CO32" s="163"/>
      <c r="CP32" s="163"/>
      <c r="CQ32" s="163"/>
      <c r="CR32" s="163"/>
      <c r="CS32" s="163"/>
      <c r="CT32" s="163"/>
      <c r="CU32" s="206"/>
      <c r="CV32" s="101"/>
    </row>
    <row r="33" spans="1:100" ht="12" customHeight="1" x14ac:dyDescent="0.25">
      <c r="A33" s="156" t="s">
        <v>1168</v>
      </c>
      <c r="B33" s="156"/>
      <c r="C33" s="156"/>
      <c r="D33" s="156"/>
      <c r="E33" s="156"/>
      <c r="F33" s="156"/>
      <c r="G33" s="156"/>
      <c r="H33" s="156"/>
      <c r="I33" s="157"/>
      <c r="J33" s="204">
        <v>222</v>
      </c>
      <c r="K33" s="205"/>
      <c r="L33" s="205"/>
      <c r="M33" s="205"/>
      <c r="N33" s="205"/>
      <c r="O33" s="205"/>
      <c r="P33" s="205"/>
      <c r="Q33" s="205"/>
      <c r="R33" s="205"/>
      <c r="S33" s="204">
        <v>200</v>
      </c>
      <c r="T33" s="205"/>
      <c r="U33" s="205"/>
      <c r="V33" s="205"/>
      <c r="W33" s="205"/>
      <c r="X33" s="205"/>
      <c r="Y33" s="205"/>
      <c r="Z33" s="205"/>
      <c r="AA33" s="205"/>
      <c r="AB33" s="204">
        <v>155</v>
      </c>
      <c r="AC33" s="205"/>
      <c r="AD33" s="205"/>
      <c r="AE33" s="205"/>
      <c r="AF33" s="205"/>
      <c r="AG33" s="205"/>
      <c r="AH33" s="205"/>
      <c r="AI33" s="205"/>
      <c r="AJ33" s="205"/>
      <c r="AK33" s="204">
        <v>277</v>
      </c>
      <c r="AL33" s="205"/>
      <c r="AM33" s="205"/>
      <c r="AN33" s="205"/>
      <c r="AO33" s="205"/>
      <c r="AP33" s="205"/>
      <c r="AQ33" s="205"/>
      <c r="AR33" s="205"/>
      <c r="AS33" s="205"/>
      <c r="AT33" s="204">
        <v>222</v>
      </c>
      <c r="AU33" s="205"/>
      <c r="AV33" s="205"/>
      <c r="AW33" s="205"/>
      <c r="AX33" s="205"/>
      <c r="AY33" s="205"/>
      <c r="AZ33" s="205"/>
      <c r="BA33" s="205"/>
      <c r="BB33" s="205"/>
      <c r="BC33" s="204">
        <v>122</v>
      </c>
      <c r="BD33" s="205"/>
      <c r="BE33" s="205"/>
      <c r="BF33" s="205"/>
      <c r="BG33" s="205"/>
      <c r="BH33" s="205"/>
      <c r="BI33" s="205"/>
      <c r="BJ33" s="205"/>
      <c r="BK33" s="205"/>
      <c r="BL33" s="204">
        <v>366</v>
      </c>
      <c r="BM33" s="205"/>
      <c r="BN33" s="205"/>
      <c r="BO33" s="205"/>
      <c r="BP33" s="205"/>
      <c r="BQ33" s="205"/>
      <c r="BR33" s="205"/>
      <c r="BS33" s="205"/>
      <c r="BT33" s="205"/>
      <c r="BU33" s="204">
        <v>177</v>
      </c>
      <c r="BV33" s="205"/>
      <c r="BW33" s="205"/>
      <c r="BX33" s="205"/>
      <c r="BY33" s="205"/>
      <c r="BZ33" s="205"/>
      <c r="CA33" s="205"/>
      <c r="CB33" s="205"/>
      <c r="CC33" s="205"/>
      <c r="CD33" s="204">
        <v>77</v>
      </c>
      <c r="CE33" s="205"/>
      <c r="CF33" s="205"/>
      <c r="CG33" s="205"/>
      <c r="CH33" s="205"/>
      <c r="CI33" s="205"/>
      <c r="CJ33" s="205"/>
      <c r="CK33" s="205"/>
      <c r="CL33" s="205"/>
      <c r="CM33" s="204">
        <v>66</v>
      </c>
      <c r="CN33" s="205"/>
      <c r="CO33" s="205"/>
      <c r="CP33" s="205"/>
      <c r="CQ33" s="205"/>
      <c r="CR33" s="205"/>
      <c r="CS33" s="205"/>
      <c r="CT33" s="205"/>
      <c r="CU33" s="212"/>
      <c r="CV33" s="101"/>
    </row>
    <row r="34" spans="1:100" ht="12" customHeight="1" x14ac:dyDescent="0.25">
      <c r="A34" s="166" t="s">
        <v>1226</v>
      </c>
      <c r="B34" s="166"/>
      <c r="C34" s="166"/>
      <c r="D34" s="166"/>
      <c r="E34" s="166"/>
      <c r="F34" s="166"/>
      <c r="G34" s="166"/>
      <c r="H34" s="166"/>
      <c r="I34" s="167"/>
      <c r="J34" s="176" t="s">
        <v>1234</v>
      </c>
      <c r="K34" s="177"/>
      <c r="L34" s="177"/>
      <c r="M34" s="177"/>
      <c r="N34" s="177"/>
      <c r="O34" s="177"/>
      <c r="P34" s="177"/>
      <c r="Q34" s="177"/>
      <c r="R34" s="177"/>
      <c r="S34" s="176" t="s">
        <v>1263</v>
      </c>
      <c r="T34" s="177"/>
      <c r="U34" s="177"/>
      <c r="V34" s="177"/>
      <c r="W34" s="177"/>
      <c r="X34" s="177"/>
      <c r="Y34" s="177"/>
      <c r="Z34" s="177"/>
      <c r="AA34" s="177"/>
      <c r="AB34" s="176" t="s">
        <v>1230</v>
      </c>
      <c r="AC34" s="177"/>
      <c r="AD34" s="177"/>
      <c r="AE34" s="177"/>
      <c r="AF34" s="177"/>
      <c r="AG34" s="177"/>
      <c r="AH34" s="177"/>
      <c r="AI34" s="177"/>
      <c r="AJ34" s="177"/>
      <c r="AK34" s="176"/>
      <c r="AL34" s="177"/>
      <c r="AM34" s="177"/>
      <c r="AN34" s="177"/>
      <c r="AO34" s="177"/>
      <c r="AP34" s="177"/>
      <c r="AQ34" s="177"/>
      <c r="AR34" s="177"/>
      <c r="AS34" s="177"/>
      <c r="AT34" s="176" t="s">
        <v>1265</v>
      </c>
      <c r="AU34" s="177"/>
      <c r="AV34" s="177"/>
      <c r="AW34" s="177"/>
      <c r="AX34" s="177"/>
      <c r="AY34" s="177"/>
      <c r="AZ34" s="177"/>
      <c r="BA34" s="177"/>
      <c r="BB34" s="177"/>
      <c r="BC34" s="176" t="s">
        <v>1246</v>
      </c>
      <c r="BD34" s="177"/>
      <c r="BE34" s="177"/>
      <c r="BF34" s="177"/>
      <c r="BG34" s="177"/>
      <c r="BH34" s="177"/>
      <c r="BI34" s="177"/>
      <c r="BJ34" s="177"/>
      <c r="BK34" s="177"/>
      <c r="BL34" s="176"/>
      <c r="BM34" s="177"/>
      <c r="BN34" s="177"/>
      <c r="BO34" s="177"/>
      <c r="BP34" s="177"/>
      <c r="BQ34" s="177"/>
      <c r="BR34" s="177"/>
      <c r="BS34" s="177"/>
      <c r="BT34" s="177"/>
      <c r="BU34" s="176"/>
      <c r="BV34" s="177"/>
      <c r="BW34" s="177"/>
      <c r="BX34" s="177"/>
      <c r="BY34" s="177"/>
      <c r="BZ34" s="177"/>
      <c r="CA34" s="177"/>
      <c r="CB34" s="177"/>
      <c r="CC34" s="177"/>
      <c r="CD34" s="176" t="s">
        <v>1248</v>
      </c>
      <c r="CE34" s="177"/>
      <c r="CF34" s="177"/>
      <c r="CG34" s="177"/>
      <c r="CH34" s="177"/>
      <c r="CI34" s="177"/>
      <c r="CJ34" s="177"/>
      <c r="CK34" s="177"/>
      <c r="CL34" s="177"/>
      <c r="CM34" s="176"/>
      <c r="CN34" s="177"/>
      <c r="CO34" s="177"/>
      <c r="CP34" s="177"/>
      <c r="CQ34" s="177"/>
      <c r="CR34" s="177"/>
      <c r="CS34" s="177"/>
      <c r="CT34" s="177"/>
      <c r="CU34" s="181"/>
      <c r="CV34" s="101"/>
    </row>
    <row r="35" spans="1:100" ht="12" customHeight="1" x14ac:dyDescent="0.25">
      <c r="A35" s="166"/>
      <c r="B35" s="166"/>
      <c r="C35" s="166"/>
      <c r="D35" s="166"/>
      <c r="E35" s="166"/>
      <c r="F35" s="166"/>
      <c r="G35" s="166"/>
      <c r="H35" s="166"/>
      <c r="I35" s="167"/>
      <c r="J35" s="176"/>
      <c r="K35" s="177"/>
      <c r="L35" s="177"/>
      <c r="M35" s="177"/>
      <c r="N35" s="177"/>
      <c r="O35" s="177"/>
      <c r="P35" s="177"/>
      <c r="Q35" s="177"/>
      <c r="R35" s="177"/>
      <c r="S35" s="176"/>
      <c r="T35" s="177"/>
      <c r="U35" s="177"/>
      <c r="V35" s="177"/>
      <c r="W35" s="177"/>
      <c r="X35" s="177"/>
      <c r="Y35" s="177"/>
      <c r="Z35" s="177"/>
      <c r="AA35" s="177"/>
      <c r="AB35" s="176"/>
      <c r="AC35" s="177"/>
      <c r="AD35" s="177"/>
      <c r="AE35" s="177"/>
      <c r="AF35" s="177"/>
      <c r="AG35" s="177"/>
      <c r="AH35" s="177"/>
      <c r="AI35" s="177"/>
      <c r="AJ35" s="177"/>
      <c r="AK35" s="176"/>
      <c r="AL35" s="177"/>
      <c r="AM35" s="177"/>
      <c r="AN35" s="177"/>
      <c r="AO35" s="177"/>
      <c r="AP35" s="177"/>
      <c r="AQ35" s="177"/>
      <c r="AR35" s="177"/>
      <c r="AS35" s="177"/>
      <c r="AT35" s="176"/>
      <c r="AU35" s="177"/>
      <c r="AV35" s="177"/>
      <c r="AW35" s="177"/>
      <c r="AX35" s="177"/>
      <c r="AY35" s="177"/>
      <c r="AZ35" s="177"/>
      <c r="BA35" s="177"/>
      <c r="BB35" s="177"/>
      <c r="BC35" s="176"/>
      <c r="BD35" s="177"/>
      <c r="BE35" s="177"/>
      <c r="BF35" s="177"/>
      <c r="BG35" s="177"/>
      <c r="BH35" s="177"/>
      <c r="BI35" s="177"/>
      <c r="BJ35" s="177"/>
      <c r="BK35" s="177"/>
      <c r="BL35" s="176"/>
      <c r="BM35" s="177"/>
      <c r="BN35" s="177"/>
      <c r="BO35" s="177"/>
      <c r="BP35" s="177"/>
      <c r="BQ35" s="177"/>
      <c r="BR35" s="177"/>
      <c r="BS35" s="177"/>
      <c r="BT35" s="177"/>
      <c r="BU35" s="176"/>
      <c r="BV35" s="177"/>
      <c r="BW35" s="177"/>
      <c r="BX35" s="177"/>
      <c r="BY35" s="177"/>
      <c r="BZ35" s="177"/>
      <c r="CA35" s="177"/>
      <c r="CB35" s="177"/>
      <c r="CC35" s="177"/>
      <c r="CD35" s="176"/>
      <c r="CE35" s="177"/>
      <c r="CF35" s="177"/>
      <c r="CG35" s="177"/>
      <c r="CH35" s="177"/>
      <c r="CI35" s="177"/>
      <c r="CJ35" s="177"/>
      <c r="CK35" s="177"/>
      <c r="CL35" s="177"/>
      <c r="CM35" s="176"/>
      <c r="CN35" s="177"/>
      <c r="CO35" s="177"/>
      <c r="CP35" s="177"/>
      <c r="CQ35" s="177"/>
      <c r="CR35" s="177"/>
      <c r="CS35" s="177"/>
      <c r="CT35" s="177"/>
      <c r="CU35" s="181"/>
      <c r="CV35" s="101"/>
    </row>
    <row r="36" spans="1:100" ht="12" customHeight="1" x14ac:dyDescent="0.25">
      <c r="A36" s="166" t="s">
        <v>1349</v>
      </c>
      <c r="B36" s="166"/>
      <c r="C36" s="166"/>
      <c r="D36" s="166"/>
      <c r="E36" s="166"/>
      <c r="F36" s="166"/>
      <c r="G36" s="166"/>
      <c r="H36" s="166"/>
      <c r="I36" s="167"/>
      <c r="J36" s="200" t="str">
        <f>_xlfn.IFNA(VLOOKUP(J34,Conditions[],2,FALSE),"")</f>
        <v>• Disadvantage on ability checks</v>
      </c>
      <c r="K36" s="201"/>
      <c r="L36" s="201"/>
      <c r="M36" s="201"/>
      <c r="N36" s="201"/>
      <c r="O36" s="201"/>
      <c r="P36" s="201"/>
      <c r="Q36" s="201"/>
      <c r="R36" s="201"/>
      <c r="S36" s="200" t="str">
        <f>_xlfn.IFNA(VLOOKUP(S34,Conditions[],2,FALSE),"")</f>
        <v>• A restrained creature’s speed becomes 0, and it can’t benefit from any bonus to its speed. 
• Attack rolls against the creature have advantage, and the creature’s attack rolls have disadvantage. 
• The creature has disadvantage on Dexterity saving throws.</v>
      </c>
      <c r="T36" s="201"/>
      <c r="U36" s="201"/>
      <c r="V36" s="201"/>
      <c r="W36" s="201"/>
      <c r="X36" s="201"/>
      <c r="Y36" s="201"/>
      <c r="Z36" s="201"/>
      <c r="AA36" s="201"/>
      <c r="AB36" s="200" t="str">
        <f>_xlfn.IFNA(VLOOKUP(AB34,Conditions[],2,FALSE),"")</f>
        <v>• A charmed creature can't attack the charmer or target the charmer with harmful abilities or magical effects.
• The charmer has advantage on any ability check to interact socially with the creature.</v>
      </c>
      <c r="AC36" s="201"/>
      <c r="AD36" s="201"/>
      <c r="AE36" s="201"/>
      <c r="AF36" s="201"/>
      <c r="AG36" s="201"/>
      <c r="AH36" s="201"/>
      <c r="AI36" s="201"/>
      <c r="AJ36" s="201"/>
      <c r="AK36" s="200" t="str">
        <f>_xlfn.IFNA(VLOOKUP(AK34,Conditions[],2,FALSE),"")</f>
        <v/>
      </c>
      <c r="AL36" s="201"/>
      <c r="AM36" s="201"/>
      <c r="AN36" s="201"/>
      <c r="AO36" s="201"/>
      <c r="AP36" s="201"/>
      <c r="AQ36" s="201"/>
      <c r="AR36" s="201"/>
      <c r="AS36" s="201"/>
      <c r="AT36" s="200" t="str">
        <f>_xlfn.IFNA(VLOOKUP(AT34,Conditions[],2,FALSE),"")</f>
        <v>• A stunned creature is incapacitated (see the condition), can’t move, and can speak only falteringly. 
• The creature automatically fails Strength and Dexterity saving throws. 
• Attack rolls against the creature have advantage.</v>
      </c>
      <c r="AU36" s="201"/>
      <c r="AV36" s="201"/>
      <c r="AW36" s="201"/>
      <c r="AX36" s="201"/>
      <c r="AY36" s="201"/>
      <c r="AZ36" s="201"/>
      <c r="BA36" s="201"/>
      <c r="BB36" s="201"/>
      <c r="BC36" s="200" t="str">
        <f>_xlfn.IFNA(VLOOKUP(BC34,Conditions[],2,FALSE),"")</f>
        <v>• A frightened creature has disadvantage on ability checks and attack rolls while the source of its fear is within line of sight. 
• The creature can’t willingly move closer to the source of its fear.</v>
      </c>
      <c r="BD36" s="201"/>
      <c r="BE36" s="201"/>
      <c r="BF36" s="201"/>
      <c r="BG36" s="201"/>
      <c r="BH36" s="201"/>
      <c r="BI36" s="201"/>
      <c r="BJ36" s="201"/>
      <c r="BK36" s="201"/>
      <c r="BL36" s="200" t="str">
        <f>_xlfn.IFNA(VLOOKUP(BL34,Conditions[],2,FALSE),"")</f>
        <v/>
      </c>
      <c r="BM36" s="201"/>
      <c r="BN36" s="201"/>
      <c r="BO36" s="201"/>
      <c r="BP36" s="201"/>
      <c r="BQ36" s="201"/>
      <c r="BR36" s="201"/>
      <c r="BS36" s="201"/>
      <c r="BT36" s="201"/>
      <c r="BU36" s="200" t="str">
        <f>_xlfn.IFNA(VLOOKUP(BU34,Conditions[],2,FALSE),"")</f>
        <v/>
      </c>
      <c r="BV36" s="201"/>
      <c r="BW36" s="201"/>
      <c r="BX36" s="201"/>
      <c r="BY36" s="201"/>
      <c r="BZ36" s="201"/>
      <c r="CA36" s="201"/>
      <c r="CB36" s="201"/>
      <c r="CC36" s="201"/>
      <c r="CD36" s="200" t="str">
        <f>_xlfn.IFNA(VLOOKUP(CD34,Conditions[],2,FALSE),"")</f>
        <v>•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v>
      </c>
      <c r="CE36" s="201"/>
      <c r="CF36" s="201"/>
      <c r="CG36" s="201"/>
      <c r="CH36" s="201"/>
      <c r="CI36" s="201"/>
      <c r="CJ36" s="201"/>
      <c r="CK36" s="201"/>
      <c r="CL36" s="201"/>
      <c r="CM36" s="200" t="str">
        <f>_xlfn.IFNA(VLOOKUP(CM34,Conditions[],2,FALSE),"")</f>
        <v/>
      </c>
      <c r="CN36" s="201"/>
      <c r="CO36" s="201"/>
      <c r="CP36" s="201"/>
      <c r="CQ36" s="201"/>
      <c r="CR36" s="201"/>
      <c r="CS36" s="201"/>
      <c r="CT36" s="201"/>
      <c r="CU36" s="210"/>
      <c r="CV36" s="101"/>
    </row>
    <row r="37" spans="1:100" ht="12" customHeight="1" x14ac:dyDescent="0.25">
      <c r="A37" s="166"/>
      <c r="B37" s="166"/>
      <c r="C37" s="166"/>
      <c r="D37" s="166"/>
      <c r="E37" s="166"/>
      <c r="F37" s="166"/>
      <c r="G37" s="166"/>
      <c r="H37" s="166"/>
      <c r="I37" s="167"/>
      <c r="J37" s="200"/>
      <c r="K37" s="201"/>
      <c r="L37" s="201"/>
      <c r="M37" s="201"/>
      <c r="N37" s="201"/>
      <c r="O37" s="201"/>
      <c r="P37" s="201"/>
      <c r="Q37" s="201"/>
      <c r="R37" s="201"/>
      <c r="S37" s="200"/>
      <c r="T37" s="201"/>
      <c r="U37" s="201"/>
      <c r="V37" s="201"/>
      <c r="W37" s="201"/>
      <c r="X37" s="201"/>
      <c r="Y37" s="201"/>
      <c r="Z37" s="201"/>
      <c r="AA37" s="201"/>
      <c r="AB37" s="200"/>
      <c r="AC37" s="201"/>
      <c r="AD37" s="201"/>
      <c r="AE37" s="201"/>
      <c r="AF37" s="201"/>
      <c r="AG37" s="201"/>
      <c r="AH37" s="201"/>
      <c r="AI37" s="201"/>
      <c r="AJ37" s="201"/>
      <c r="AK37" s="200"/>
      <c r="AL37" s="201"/>
      <c r="AM37" s="201"/>
      <c r="AN37" s="201"/>
      <c r="AO37" s="201"/>
      <c r="AP37" s="201"/>
      <c r="AQ37" s="201"/>
      <c r="AR37" s="201"/>
      <c r="AS37" s="201"/>
      <c r="AT37" s="200"/>
      <c r="AU37" s="201"/>
      <c r="AV37" s="201"/>
      <c r="AW37" s="201"/>
      <c r="AX37" s="201"/>
      <c r="AY37" s="201"/>
      <c r="AZ37" s="201"/>
      <c r="BA37" s="201"/>
      <c r="BB37" s="201"/>
      <c r="BC37" s="200"/>
      <c r="BD37" s="201"/>
      <c r="BE37" s="201"/>
      <c r="BF37" s="201"/>
      <c r="BG37" s="201"/>
      <c r="BH37" s="201"/>
      <c r="BI37" s="201"/>
      <c r="BJ37" s="201"/>
      <c r="BK37" s="201"/>
      <c r="BL37" s="200"/>
      <c r="BM37" s="201"/>
      <c r="BN37" s="201"/>
      <c r="BO37" s="201"/>
      <c r="BP37" s="201"/>
      <c r="BQ37" s="201"/>
      <c r="BR37" s="201"/>
      <c r="BS37" s="201"/>
      <c r="BT37" s="201"/>
      <c r="BU37" s="200"/>
      <c r="BV37" s="201"/>
      <c r="BW37" s="201"/>
      <c r="BX37" s="201"/>
      <c r="BY37" s="201"/>
      <c r="BZ37" s="201"/>
      <c r="CA37" s="201"/>
      <c r="CB37" s="201"/>
      <c r="CC37" s="201"/>
      <c r="CD37" s="200"/>
      <c r="CE37" s="201"/>
      <c r="CF37" s="201"/>
      <c r="CG37" s="201"/>
      <c r="CH37" s="201"/>
      <c r="CI37" s="201"/>
      <c r="CJ37" s="201"/>
      <c r="CK37" s="201"/>
      <c r="CL37" s="201"/>
      <c r="CM37" s="200"/>
      <c r="CN37" s="201"/>
      <c r="CO37" s="201"/>
      <c r="CP37" s="201"/>
      <c r="CQ37" s="201"/>
      <c r="CR37" s="201"/>
      <c r="CS37" s="201"/>
      <c r="CT37" s="201"/>
      <c r="CU37" s="210"/>
      <c r="CV37" s="101"/>
    </row>
    <row r="38" spans="1:100" ht="12" customHeight="1" x14ac:dyDescent="0.25">
      <c r="A38" s="166"/>
      <c r="B38" s="166"/>
      <c r="C38" s="166"/>
      <c r="D38" s="166"/>
      <c r="E38" s="166"/>
      <c r="F38" s="166"/>
      <c r="G38" s="166"/>
      <c r="H38" s="166"/>
      <c r="I38" s="167"/>
      <c r="J38" s="200"/>
      <c r="K38" s="201"/>
      <c r="L38" s="201"/>
      <c r="M38" s="201"/>
      <c r="N38" s="201"/>
      <c r="O38" s="201"/>
      <c r="P38" s="201"/>
      <c r="Q38" s="201"/>
      <c r="R38" s="201"/>
      <c r="S38" s="200"/>
      <c r="T38" s="201"/>
      <c r="U38" s="201"/>
      <c r="V38" s="201"/>
      <c r="W38" s="201"/>
      <c r="X38" s="201"/>
      <c r="Y38" s="201"/>
      <c r="Z38" s="201"/>
      <c r="AA38" s="201"/>
      <c r="AB38" s="200"/>
      <c r="AC38" s="201"/>
      <c r="AD38" s="201"/>
      <c r="AE38" s="201"/>
      <c r="AF38" s="201"/>
      <c r="AG38" s="201"/>
      <c r="AH38" s="201"/>
      <c r="AI38" s="201"/>
      <c r="AJ38" s="201"/>
      <c r="AK38" s="200"/>
      <c r="AL38" s="201"/>
      <c r="AM38" s="201"/>
      <c r="AN38" s="201"/>
      <c r="AO38" s="201"/>
      <c r="AP38" s="201"/>
      <c r="AQ38" s="201"/>
      <c r="AR38" s="201"/>
      <c r="AS38" s="201"/>
      <c r="AT38" s="200"/>
      <c r="AU38" s="201"/>
      <c r="AV38" s="201"/>
      <c r="AW38" s="201"/>
      <c r="AX38" s="201"/>
      <c r="AY38" s="201"/>
      <c r="AZ38" s="201"/>
      <c r="BA38" s="201"/>
      <c r="BB38" s="201"/>
      <c r="BC38" s="200"/>
      <c r="BD38" s="201"/>
      <c r="BE38" s="201"/>
      <c r="BF38" s="201"/>
      <c r="BG38" s="201"/>
      <c r="BH38" s="201"/>
      <c r="BI38" s="201"/>
      <c r="BJ38" s="201"/>
      <c r="BK38" s="201"/>
      <c r="BL38" s="200"/>
      <c r="BM38" s="201"/>
      <c r="BN38" s="201"/>
      <c r="BO38" s="201"/>
      <c r="BP38" s="201"/>
      <c r="BQ38" s="201"/>
      <c r="BR38" s="201"/>
      <c r="BS38" s="201"/>
      <c r="BT38" s="201"/>
      <c r="BU38" s="200"/>
      <c r="BV38" s="201"/>
      <c r="BW38" s="201"/>
      <c r="BX38" s="201"/>
      <c r="BY38" s="201"/>
      <c r="BZ38" s="201"/>
      <c r="CA38" s="201"/>
      <c r="CB38" s="201"/>
      <c r="CC38" s="201"/>
      <c r="CD38" s="200"/>
      <c r="CE38" s="201"/>
      <c r="CF38" s="201"/>
      <c r="CG38" s="201"/>
      <c r="CH38" s="201"/>
      <c r="CI38" s="201"/>
      <c r="CJ38" s="201"/>
      <c r="CK38" s="201"/>
      <c r="CL38" s="201"/>
      <c r="CM38" s="200"/>
      <c r="CN38" s="201"/>
      <c r="CO38" s="201"/>
      <c r="CP38" s="201"/>
      <c r="CQ38" s="201"/>
      <c r="CR38" s="201"/>
      <c r="CS38" s="201"/>
      <c r="CT38" s="201"/>
      <c r="CU38" s="210"/>
      <c r="CV38" s="101"/>
    </row>
    <row r="39" spans="1:100" ht="12" customHeight="1" x14ac:dyDescent="0.25">
      <c r="A39" s="166"/>
      <c r="B39" s="166"/>
      <c r="C39" s="166"/>
      <c r="D39" s="166"/>
      <c r="E39" s="166"/>
      <c r="F39" s="166"/>
      <c r="G39" s="166"/>
      <c r="H39" s="166"/>
      <c r="I39" s="167"/>
      <c r="J39" s="200"/>
      <c r="K39" s="201"/>
      <c r="L39" s="201"/>
      <c r="M39" s="201"/>
      <c r="N39" s="201"/>
      <c r="O39" s="201"/>
      <c r="P39" s="201"/>
      <c r="Q39" s="201"/>
      <c r="R39" s="201"/>
      <c r="S39" s="200"/>
      <c r="T39" s="201"/>
      <c r="U39" s="201"/>
      <c r="V39" s="201"/>
      <c r="W39" s="201"/>
      <c r="X39" s="201"/>
      <c r="Y39" s="201"/>
      <c r="Z39" s="201"/>
      <c r="AA39" s="201"/>
      <c r="AB39" s="200"/>
      <c r="AC39" s="201"/>
      <c r="AD39" s="201"/>
      <c r="AE39" s="201"/>
      <c r="AF39" s="201"/>
      <c r="AG39" s="201"/>
      <c r="AH39" s="201"/>
      <c r="AI39" s="201"/>
      <c r="AJ39" s="201"/>
      <c r="AK39" s="200"/>
      <c r="AL39" s="201"/>
      <c r="AM39" s="201"/>
      <c r="AN39" s="201"/>
      <c r="AO39" s="201"/>
      <c r="AP39" s="201"/>
      <c r="AQ39" s="201"/>
      <c r="AR39" s="201"/>
      <c r="AS39" s="201"/>
      <c r="AT39" s="200"/>
      <c r="AU39" s="201"/>
      <c r="AV39" s="201"/>
      <c r="AW39" s="201"/>
      <c r="AX39" s="201"/>
      <c r="AY39" s="201"/>
      <c r="AZ39" s="201"/>
      <c r="BA39" s="201"/>
      <c r="BB39" s="201"/>
      <c r="BC39" s="200"/>
      <c r="BD39" s="201"/>
      <c r="BE39" s="201"/>
      <c r="BF39" s="201"/>
      <c r="BG39" s="201"/>
      <c r="BH39" s="201"/>
      <c r="BI39" s="201"/>
      <c r="BJ39" s="201"/>
      <c r="BK39" s="201"/>
      <c r="BL39" s="200"/>
      <c r="BM39" s="201"/>
      <c r="BN39" s="201"/>
      <c r="BO39" s="201"/>
      <c r="BP39" s="201"/>
      <c r="BQ39" s="201"/>
      <c r="BR39" s="201"/>
      <c r="BS39" s="201"/>
      <c r="BT39" s="201"/>
      <c r="BU39" s="200"/>
      <c r="BV39" s="201"/>
      <c r="BW39" s="201"/>
      <c r="BX39" s="201"/>
      <c r="BY39" s="201"/>
      <c r="BZ39" s="201"/>
      <c r="CA39" s="201"/>
      <c r="CB39" s="201"/>
      <c r="CC39" s="201"/>
      <c r="CD39" s="200"/>
      <c r="CE39" s="201"/>
      <c r="CF39" s="201"/>
      <c r="CG39" s="201"/>
      <c r="CH39" s="201"/>
      <c r="CI39" s="201"/>
      <c r="CJ39" s="201"/>
      <c r="CK39" s="201"/>
      <c r="CL39" s="201"/>
      <c r="CM39" s="200"/>
      <c r="CN39" s="201"/>
      <c r="CO39" s="201"/>
      <c r="CP39" s="201"/>
      <c r="CQ39" s="201"/>
      <c r="CR39" s="201"/>
      <c r="CS39" s="201"/>
      <c r="CT39" s="201"/>
      <c r="CU39" s="210"/>
      <c r="CV39" s="101"/>
    </row>
    <row r="40" spans="1:100" ht="12" customHeight="1" x14ac:dyDescent="0.25">
      <c r="A40" s="166"/>
      <c r="B40" s="166"/>
      <c r="C40" s="166"/>
      <c r="D40" s="166"/>
      <c r="E40" s="166"/>
      <c r="F40" s="166"/>
      <c r="G40" s="166"/>
      <c r="H40" s="166"/>
      <c r="I40" s="167"/>
      <c r="J40" s="200"/>
      <c r="K40" s="201"/>
      <c r="L40" s="201"/>
      <c r="M40" s="201"/>
      <c r="N40" s="201"/>
      <c r="O40" s="201"/>
      <c r="P40" s="201"/>
      <c r="Q40" s="201"/>
      <c r="R40" s="201"/>
      <c r="S40" s="200"/>
      <c r="T40" s="201"/>
      <c r="U40" s="201"/>
      <c r="V40" s="201"/>
      <c r="W40" s="201"/>
      <c r="X40" s="201"/>
      <c r="Y40" s="201"/>
      <c r="Z40" s="201"/>
      <c r="AA40" s="201"/>
      <c r="AB40" s="200"/>
      <c r="AC40" s="201"/>
      <c r="AD40" s="201"/>
      <c r="AE40" s="201"/>
      <c r="AF40" s="201"/>
      <c r="AG40" s="201"/>
      <c r="AH40" s="201"/>
      <c r="AI40" s="201"/>
      <c r="AJ40" s="201"/>
      <c r="AK40" s="200"/>
      <c r="AL40" s="201"/>
      <c r="AM40" s="201"/>
      <c r="AN40" s="201"/>
      <c r="AO40" s="201"/>
      <c r="AP40" s="201"/>
      <c r="AQ40" s="201"/>
      <c r="AR40" s="201"/>
      <c r="AS40" s="201"/>
      <c r="AT40" s="200"/>
      <c r="AU40" s="201"/>
      <c r="AV40" s="201"/>
      <c r="AW40" s="201"/>
      <c r="AX40" s="201"/>
      <c r="AY40" s="201"/>
      <c r="AZ40" s="201"/>
      <c r="BA40" s="201"/>
      <c r="BB40" s="201"/>
      <c r="BC40" s="200"/>
      <c r="BD40" s="201"/>
      <c r="BE40" s="201"/>
      <c r="BF40" s="201"/>
      <c r="BG40" s="201"/>
      <c r="BH40" s="201"/>
      <c r="BI40" s="201"/>
      <c r="BJ40" s="201"/>
      <c r="BK40" s="201"/>
      <c r="BL40" s="200"/>
      <c r="BM40" s="201"/>
      <c r="BN40" s="201"/>
      <c r="BO40" s="201"/>
      <c r="BP40" s="201"/>
      <c r="BQ40" s="201"/>
      <c r="BR40" s="201"/>
      <c r="BS40" s="201"/>
      <c r="BT40" s="201"/>
      <c r="BU40" s="200"/>
      <c r="BV40" s="201"/>
      <c r="BW40" s="201"/>
      <c r="BX40" s="201"/>
      <c r="BY40" s="201"/>
      <c r="BZ40" s="201"/>
      <c r="CA40" s="201"/>
      <c r="CB40" s="201"/>
      <c r="CC40" s="201"/>
      <c r="CD40" s="200"/>
      <c r="CE40" s="201"/>
      <c r="CF40" s="201"/>
      <c r="CG40" s="201"/>
      <c r="CH40" s="201"/>
      <c r="CI40" s="201"/>
      <c r="CJ40" s="201"/>
      <c r="CK40" s="201"/>
      <c r="CL40" s="201"/>
      <c r="CM40" s="200"/>
      <c r="CN40" s="201"/>
      <c r="CO40" s="201"/>
      <c r="CP40" s="201"/>
      <c r="CQ40" s="201"/>
      <c r="CR40" s="201"/>
      <c r="CS40" s="201"/>
      <c r="CT40" s="201"/>
      <c r="CU40" s="210"/>
      <c r="CV40" s="101"/>
    </row>
    <row r="41" spans="1:100" ht="12" customHeight="1" x14ac:dyDescent="0.25">
      <c r="A41" s="166"/>
      <c r="B41" s="166"/>
      <c r="C41" s="166"/>
      <c r="D41" s="166"/>
      <c r="E41" s="166"/>
      <c r="F41" s="166"/>
      <c r="G41" s="166"/>
      <c r="H41" s="166"/>
      <c r="I41" s="167"/>
      <c r="J41" s="200"/>
      <c r="K41" s="201"/>
      <c r="L41" s="201"/>
      <c r="M41" s="201"/>
      <c r="N41" s="201"/>
      <c r="O41" s="201"/>
      <c r="P41" s="201"/>
      <c r="Q41" s="201"/>
      <c r="R41" s="201"/>
      <c r="S41" s="200"/>
      <c r="T41" s="201"/>
      <c r="U41" s="201"/>
      <c r="V41" s="201"/>
      <c r="W41" s="201"/>
      <c r="X41" s="201"/>
      <c r="Y41" s="201"/>
      <c r="Z41" s="201"/>
      <c r="AA41" s="201"/>
      <c r="AB41" s="200"/>
      <c r="AC41" s="201"/>
      <c r="AD41" s="201"/>
      <c r="AE41" s="201"/>
      <c r="AF41" s="201"/>
      <c r="AG41" s="201"/>
      <c r="AH41" s="201"/>
      <c r="AI41" s="201"/>
      <c r="AJ41" s="201"/>
      <c r="AK41" s="200"/>
      <c r="AL41" s="201"/>
      <c r="AM41" s="201"/>
      <c r="AN41" s="201"/>
      <c r="AO41" s="201"/>
      <c r="AP41" s="201"/>
      <c r="AQ41" s="201"/>
      <c r="AR41" s="201"/>
      <c r="AS41" s="201"/>
      <c r="AT41" s="200"/>
      <c r="AU41" s="201"/>
      <c r="AV41" s="201"/>
      <c r="AW41" s="201"/>
      <c r="AX41" s="201"/>
      <c r="AY41" s="201"/>
      <c r="AZ41" s="201"/>
      <c r="BA41" s="201"/>
      <c r="BB41" s="201"/>
      <c r="BC41" s="200"/>
      <c r="BD41" s="201"/>
      <c r="BE41" s="201"/>
      <c r="BF41" s="201"/>
      <c r="BG41" s="201"/>
      <c r="BH41" s="201"/>
      <c r="BI41" s="201"/>
      <c r="BJ41" s="201"/>
      <c r="BK41" s="201"/>
      <c r="BL41" s="200"/>
      <c r="BM41" s="201"/>
      <c r="BN41" s="201"/>
      <c r="BO41" s="201"/>
      <c r="BP41" s="201"/>
      <c r="BQ41" s="201"/>
      <c r="BR41" s="201"/>
      <c r="BS41" s="201"/>
      <c r="BT41" s="201"/>
      <c r="BU41" s="200"/>
      <c r="BV41" s="201"/>
      <c r="BW41" s="201"/>
      <c r="BX41" s="201"/>
      <c r="BY41" s="201"/>
      <c r="BZ41" s="201"/>
      <c r="CA41" s="201"/>
      <c r="CB41" s="201"/>
      <c r="CC41" s="201"/>
      <c r="CD41" s="200"/>
      <c r="CE41" s="201"/>
      <c r="CF41" s="201"/>
      <c r="CG41" s="201"/>
      <c r="CH41" s="201"/>
      <c r="CI41" s="201"/>
      <c r="CJ41" s="201"/>
      <c r="CK41" s="201"/>
      <c r="CL41" s="201"/>
      <c r="CM41" s="200"/>
      <c r="CN41" s="201"/>
      <c r="CO41" s="201"/>
      <c r="CP41" s="201"/>
      <c r="CQ41" s="201"/>
      <c r="CR41" s="201"/>
      <c r="CS41" s="201"/>
      <c r="CT41" s="201"/>
      <c r="CU41" s="210"/>
      <c r="CV41" s="101"/>
    </row>
    <row r="42" spans="1:100" ht="12" customHeight="1" x14ac:dyDescent="0.25">
      <c r="A42" s="166"/>
      <c r="B42" s="166"/>
      <c r="C42" s="166"/>
      <c r="D42" s="166"/>
      <c r="E42" s="166"/>
      <c r="F42" s="166"/>
      <c r="G42" s="166"/>
      <c r="H42" s="166"/>
      <c r="I42" s="167"/>
      <c r="J42" s="200"/>
      <c r="K42" s="201"/>
      <c r="L42" s="201"/>
      <c r="M42" s="201"/>
      <c r="N42" s="201"/>
      <c r="O42" s="201"/>
      <c r="P42" s="201"/>
      <c r="Q42" s="201"/>
      <c r="R42" s="201"/>
      <c r="S42" s="200"/>
      <c r="T42" s="201"/>
      <c r="U42" s="201"/>
      <c r="V42" s="201"/>
      <c r="W42" s="201"/>
      <c r="X42" s="201"/>
      <c r="Y42" s="201"/>
      <c r="Z42" s="201"/>
      <c r="AA42" s="201"/>
      <c r="AB42" s="200"/>
      <c r="AC42" s="201"/>
      <c r="AD42" s="201"/>
      <c r="AE42" s="201"/>
      <c r="AF42" s="201"/>
      <c r="AG42" s="201"/>
      <c r="AH42" s="201"/>
      <c r="AI42" s="201"/>
      <c r="AJ42" s="201"/>
      <c r="AK42" s="200"/>
      <c r="AL42" s="201"/>
      <c r="AM42" s="201"/>
      <c r="AN42" s="201"/>
      <c r="AO42" s="201"/>
      <c r="AP42" s="201"/>
      <c r="AQ42" s="201"/>
      <c r="AR42" s="201"/>
      <c r="AS42" s="201"/>
      <c r="AT42" s="200"/>
      <c r="AU42" s="201"/>
      <c r="AV42" s="201"/>
      <c r="AW42" s="201"/>
      <c r="AX42" s="201"/>
      <c r="AY42" s="201"/>
      <c r="AZ42" s="201"/>
      <c r="BA42" s="201"/>
      <c r="BB42" s="201"/>
      <c r="BC42" s="200"/>
      <c r="BD42" s="201"/>
      <c r="BE42" s="201"/>
      <c r="BF42" s="201"/>
      <c r="BG42" s="201"/>
      <c r="BH42" s="201"/>
      <c r="BI42" s="201"/>
      <c r="BJ42" s="201"/>
      <c r="BK42" s="201"/>
      <c r="BL42" s="200"/>
      <c r="BM42" s="201"/>
      <c r="BN42" s="201"/>
      <c r="BO42" s="201"/>
      <c r="BP42" s="201"/>
      <c r="BQ42" s="201"/>
      <c r="BR42" s="201"/>
      <c r="BS42" s="201"/>
      <c r="BT42" s="201"/>
      <c r="BU42" s="200"/>
      <c r="BV42" s="201"/>
      <c r="BW42" s="201"/>
      <c r="BX42" s="201"/>
      <c r="BY42" s="201"/>
      <c r="BZ42" s="201"/>
      <c r="CA42" s="201"/>
      <c r="CB42" s="201"/>
      <c r="CC42" s="201"/>
      <c r="CD42" s="200"/>
      <c r="CE42" s="201"/>
      <c r="CF42" s="201"/>
      <c r="CG42" s="201"/>
      <c r="CH42" s="201"/>
      <c r="CI42" s="201"/>
      <c r="CJ42" s="201"/>
      <c r="CK42" s="201"/>
      <c r="CL42" s="201"/>
      <c r="CM42" s="200"/>
      <c r="CN42" s="201"/>
      <c r="CO42" s="201"/>
      <c r="CP42" s="201"/>
      <c r="CQ42" s="201"/>
      <c r="CR42" s="201"/>
      <c r="CS42" s="201"/>
      <c r="CT42" s="201"/>
      <c r="CU42" s="210"/>
      <c r="CV42" s="101"/>
    </row>
    <row r="43" spans="1:100" ht="12" customHeight="1" x14ac:dyDescent="0.25">
      <c r="A43" s="166"/>
      <c r="B43" s="166"/>
      <c r="C43" s="166"/>
      <c r="D43" s="166"/>
      <c r="E43" s="166"/>
      <c r="F43" s="166"/>
      <c r="G43" s="166"/>
      <c r="H43" s="166"/>
      <c r="I43" s="167"/>
      <c r="J43" s="200"/>
      <c r="K43" s="201"/>
      <c r="L43" s="201"/>
      <c r="M43" s="201"/>
      <c r="N43" s="201"/>
      <c r="O43" s="201"/>
      <c r="P43" s="201"/>
      <c r="Q43" s="201"/>
      <c r="R43" s="201"/>
      <c r="S43" s="200"/>
      <c r="T43" s="201"/>
      <c r="U43" s="201"/>
      <c r="V43" s="201"/>
      <c r="W43" s="201"/>
      <c r="X43" s="201"/>
      <c r="Y43" s="201"/>
      <c r="Z43" s="201"/>
      <c r="AA43" s="201"/>
      <c r="AB43" s="200"/>
      <c r="AC43" s="201"/>
      <c r="AD43" s="201"/>
      <c r="AE43" s="201"/>
      <c r="AF43" s="201"/>
      <c r="AG43" s="201"/>
      <c r="AH43" s="201"/>
      <c r="AI43" s="201"/>
      <c r="AJ43" s="201"/>
      <c r="AK43" s="200"/>
      <c r="AL43" s="201"/>
      <c r="AM43" s="201"/>
      <c r="AN43" s="201"/>
      <c r="AO43" s="201"/>
      <c r="AP43" s="201"/>
      <c r="AQ43" s="201"/>
      <c r="AR43" s="201"/>
      <c r="AS43" s="201"/>
      <c r="AT43" s="200"/>
      <c r="AU43" s="201"/>
      <c r="AV43" s="201"/>
      <c r="AW43" s="201"/>
      <c r="AX43" s="201"/>
      <c r="AY43" s="201"/>
      <c r="AZ43" s="201"/>
      <c r="BA43" s="201"/>
      <c r="BB43" s="201"/>
      <c r="BC43" s="200"/>
      <c r="BD43" s="201"/>
      <c r="BE43" s="201"/>
      <c r="BF43" s="201"/>
      <c r="BG43" s="201"/>
      <c r="BH43" s="201"/>
      <c r="BI43" s="201"/>
      <c r="BJ43" s="201"/>
      <c r="BK43" s="201"/>
      <c r="BL43" s="200"/>
      <c r="BM43" s="201"/>
      <c r="BN43" s="201"/>
      <c r="BO43" s="201"/>
      <c r="BP43" s="201"/>
      <c r="BQ43" s="201"/>
      <c r="BR43" s="201"/>
      <c r="BS43" s="201"/>
      <c r="BT43" s="201"/>
      <c r="BU43" s="200"/>
      <c r="BV43" s="201"/>
      <c r="BW43" s="201"/>
      <c r="BX43" s="201"/>
      <c r="BY43" s="201"/>
      <c r="BZ43" s="201"/>
      <c r="CA43" s="201"/>
      <c r="CB43" s="201"/>
      <c r="CC43" s="201"/>
      <c r="CD43" s="200"/>
      <c r="CE43" s="201"/>
      <c r="CF43" s="201"/>
      <c r="CG43" s="201"/>
      <c r="CH43" s="201"/>
      <c r="CI43" s="201"/>
      <c r="CJ43" s="201"/>
      <c r="CK43" s="201"/>
      <c r="CL43" s="201"/>
      <c r="CM43" s="200"/>
      <c r="CN43" s="201"/>
      <c r="CO43" s="201"/>
      <c r="CP43" s="201"/>
      <c r="CQ43" s="201"/>
      <c r="CR43" s="201"/>
      <c r="CS43" s="201"/>
      <c r="CT43" s="201"/>
      <c r="CU43" s="210"/>
      <c r="CV43" s="101"/>
    </row>
    <row r="44" spans="1:100" ht="12" customHeight="1" x14ac:dyDescent="0.25">
      <c r="A44" s="166"/>
      <c r="B44" s="166"/>
      <c r="C44" s="166"/>
      <c r="D44" s="166"/>
      <c r="E44" s="166"/>
      <c r="F44" s="166"/>
      <c r="G44" s="166"/>
      <c r="H44" s="166"/>
      <c r="I44" s="167"/>
      <c r="J44" s="200"/>
      <c r="K44" s="201"/>
      <c r="L44" s="201"/>
      <c r="M44" s="201"/>
      <c r="N44" s="201"/>
      <c r="O44" s="201"/>
      <c r="P44" s="201"/>
      <c r="Q44" s="201"/>
      <c r="R44" s="201"/>
      <c r="S44" s="200"/>
      <c r="T44" s="201"/>
      <c r="U44" s="201"/>
      <c r="V44" s="201"/>
      <c r="W44" s="201"/>
      <c r="X44" s="201"/>
      <c r="Y44" s="201"/>
      <c r="Z44" s="201"/>
      <c r="AA44" s="201"/>
      <c r="AB44" s="200"/>
      <c r="AC44" s="201"/>
      <c r="AD44" s="201"/>
      <c r="AE44" s="201"/>
      <c r="AF44" s="201"/>
      <c r="AG44" s="201"/>
      <c r="AH44" s="201"/>
      <c r="AI44" s="201"/>
      <c r="AJ44" s="201"/>
      <c r="AK44" s="200"/>
      <c r="AL44" s="201"/>
      <c r="AM44" s="201"/>
      <c r="AN44" s="201"/>
      <c r="AO44" s="201"/>
      <c r="AP44" s="201"/>
      <c r="AQ44" s="201"/>
      <c r="AR44" s="201"/>
      <c r="AS44" s="201"/>
      <c r="AT44" s="200"/>
      <c r="AU44" s="201"/>
      <c r="AV44" s="201"/>
      <c r="AW44" s="201"/>
      <c r="AX44" s="201"/>
      <c r="AY44" s="201"/>
      <c r="AZ44" s="201"/>
      <c r="BA44" s="201"/>
      <c r="BB44" s="201"/>
      <c r="BC44" s="200"/>
      <c r="BD44" s="201"/>
      <c r="BE44" s="201"/>
      <c r="BF44" s="201"/>
      <c r="BG44" s="201"/>
      <c r="BH44" s="201"/>
      <c r="BI44" s="201"/>
      <c r="BJ44" s="201"/>
      <c r="BK44" s="201"/>
      <c r="BL44" s="200"/>
      <c r="BM44" s="201"/>
      <c r="BN44" s="201"/>
      <c r="BO44" s="201"/>
      <c r="BP44" s="201"/>
      <c r="BQ44" s="201"/>
      <c r="BR44" s="201"/>
      <c r="BS44" s="201"/>
      <c r="BT44" s="201"/>
      <c r="BU44" s="200"/>
      <c r="BV44" s="201"/>
      <c r="BW44" s="201"/>
      <c r="BX44" s="201"/>
      <c r="BY44" s="201"/>
      <c r="BZ44" s="201"/>
      <c r="CA44" s="201"/>
      <c r="CB44" s="201"/>
      <c r="CC44" s="201"/>
      <c r="CD44" s="200"/>
      <c r="CE44" s="201"/>
      <c r="CF44" s="201"/>
      <c r="CG44" s="201"/>
      <c r="CH44" s="201"/>
      <c r="CI44" s="201"/>
      <c r="CJ44" s="201"/>
      <c r="CK44" s="201"/>
      <c r="CL44" s="201"/>
      <c r="CM44" s="200"/>
      <c r="CN44" s="201"/>
      <c r="CO44" s="201"/>
      <c r="CP44" s="201"/>
      <c r="CQ44" s="201"/>
      <c r="CR44" s="201"/>
      <c r="CS44" s="201"/>
      <c r="CT44" s="201"/>
      <c r="CU44" s="210"/>
      <c r="CV44" s="101"/>
    </row>
    <row r="45" spans="1:100" ht="12" customHeight="1" x14ac:dyDescent="0.25">
      <c r="A45" s="166" t="s">
        <v>1350</v>
      </c>
      <c r="B45" s="166"/>
      <c r="C45" s="166"/>
      <c r="D45" s="166"/>
      <c r="E45" s="166"/>
      <c r="F45" s="166"/>
      <c r="G45" s="166"/>
      <c r="H45" s="166"/>
      <c r="I45" s="167"/>
      <c r="J45" s="176"/>
      <c r="K45" s="177"/>
      <c r="L45" s="177"/>
      <c r="M45" s="177"/>
      <c r="N45" s="177"/>
      <c r="O45" s="177"/>
      <c r="P45" s="177"/>
      <c r="Q45" s="177"/>
      <c r="R45" s="177"/>
      <c r="S45" s="176"/>
      <c r="T45" s="177"/>
      <c r="U45" s="177"/>
      <c r="V45" s="177"/>
      <c r="W45" s="177"/>
      <c r="X45" s="177"/>
      <c r="Y45" s="177"/>
      <c r="Z45" s="177"/>
      <c r="AA45" s="177"/>
      <c r="AB45" s="176" t="s">
        <v>1086</v>
      </c>
      <c r="AC45" s="177"/>
      <c r="AD45" s="177"/>
      <c r="AE45" s="177"/>
      <c r="AF45" s="177"/>
      <c r="AG45" s="177"/>
      <c r="AH45" s="177"/>
      <c r="AI45" s="177"/>
      <c r="AJ45" s="177"/>
      <c r="AK45" s="176"/>
      <c r="AL45" s="177"/>
      <c r="AM45" s="177"/>
      <c r="AN45" s="177"/>
      <c r="AO45" s="177"/>
      <c r="AP45" s="177"/>
      <c r="AQ45" s="177"/>
      <c r="AR45" s="177"/>
      <c r="AS45" s="177"/>
      <c r="AT45" s="176"/>
      <c r="AU45" s="177"/>
      <c r="AV45" s="177"/>
      <c r="AW45" s="177"/>
      <c r="AX45" s="177"/>
      <c r="AY45" s="177"/>
      <c r="AZ45" s="177"/>
      <c r="BA45" s="177"/>
      <c r="BB45" s="177"/>
      <c r="BC45" s="176" t="s">
        <v>1086</v>
      </c>
      <c r="BD45" s="177"/>
      <c r="BE45" s="177"/>
      <c r="BF45" s="177"/>
      <c r="BG45" s="177"/>
      <c r="BH45" s="177"/>
      <c r="BI45" s="177"/>
      <c r="BJ45" s="177"/>
      <c r="BK45" s="177"/>
      <c r="BL45" s="176"/>
      <c r="BM45" s="177"/>
      <c r="BN45" s="177"/>
      <c r="BO45" s="177"/>
      <c r="BP45" s="177"/>
      <c r="BQ45" s="177"/>
      <c r="BR45" s="177"/>
      <c r="BS45" s="177"/>
      <c r="BT45" s="177"/>
      <c r="BU45" s="176"/>
      <c r="BV45" s="177"/>
      <c r="BW45" s="177"/>
      <c r="BX45" s="177"/>
      <c r="BY45" s="177"/>
      <c r="BZ45" s="177"/>
      <c r="CA45" s="177"/>
      <c r="CB45" s="177"/>
      <c r="CC45" s="177"/>
      <c r="CD45" s="176"/>
      <c r="CE45" s="177"/>
      <c r="CF45" s="177"/>
      <c r="CG45" s="177"/>
      <c r="CH45" s="177"/>
      <c r="CI45" s="177"/>
      <c r="CJ45" s="177"/>
      <c r="CK45" s="177"/>
      <c r="CL45" s="177"/>
      <c r="CM45" s="176"/>
      <c r="CN45" s="177"/>
      <c r="CO45" s="177"/>
      <c r="CP45" s="177"/>
      <c r="CQ45" s="177"/>
      <c r="CR45" s="177"/>
      <c r="CS45" s="177"/>
      <c r="CT45" s="177"/>
      <c r="CU45" s="181"/>
      <c r="CV45" s="101"/>
    </row>
    <row r="46" spans="1:100" ht="12" customHeight="1" x14ac:dyDescent="0.25">
      <c r="A46" s="166"/>
      <c r="B46" s="166"/>
      <c r="C46" s="166"/>
      <c r="D46" s="166"/>
      <c r="E46" s="166"/>
      <c r="F46" s="166"/>
      <c r="G46" s="166"/>
      <c r="H46" s="166"/>
      <c r="I46" s="167"/>
      <c r="J46" s="176"/>
      <c r="K46" s="177"/>
      <c r="L46" s="177"/>
      <c r="M46" s="177"/>
      <c r="N46" s="177"/>
      <c r="O46" s="177"/>
      <c r="P46" s="177"/>
      <c r="Q46" s="177"/>
      <c r="R46" s="177"/>
      <c r="S46" s="176"/>
      <c r="T46" s="177"/>
      <c r="U46" s="177"/>
      <c r="V46" s="177"/>
      <c r="W46" s="177"/>
      <c r="X46" s="177"/>
      <c r="Y46" s="177"/>
      <c r="Z46" s="177"/>
      <c r="AA46" s="177"/>
      <c r="AB46" s="176"/>
      <c r="AC46" s="177"/>
      <c r="AD46" s="177"/>
      <c r="AE46" s="177"/>
      <c r="AF46" s="177"/>
      <c r="AG46" s="177"/>
      <c r="AH46" s="177"/>
      <c r="AI46" s="177"/>
      <c r="AJ46" s="177"/>
      <c r="AK46" s="176"/>
      <c r="AL46" s="177"/>
      <c r="AM46" s="177"/>
      <c r="AN46" s="177"/>
      <c r="AO46" s="177"/>
      <c r="AP46" s="177"/>
      <c r="AQ46" s="177"/>
      <c r="AR46" s="177"/>
      <c r="AS46" s="177"/>
      <c r="AT46" s="176"/>
      <c r="AU46" s="177"/>
      <c r="AV46" s="177"/>
      <c r="AW46" s="177"/>
      <c r="AX46" s="177"/>
      <c r="AY46" s="177"/>
      <c r="AZ46" s="177"/>
      <c r="BA46" s="177"/>
      <c r="BB46" s="177"/>
      <c r="BC46" s="176"/>
      <c r="BD46" s="177"/>
      <c r="BE46" s="177"/>
      <c r="BF46" s="177"/>
      <c r="BG46" s="177"/>
      <c r="BH46" s="177"/>
      <c r="BI46" s="177"/>
      <c r="BJ46" s="177"/>
      <c r="BK46" s="177"/>
      <c r="BL46" s="176"/>
      <c r="BM46" s="177"/>
      <c r="BN46" s="177"/>
      <c r="BO46" s="177"/>
      <c r="BP46" s="177"/>
      <c r="BQ46" s="177"/>
      <c r="BR46" s="177"/>
      <c r="BS46" s="177"/>
      <c r="BT46" s="177"/>
      <c r="BU46" s="176"/>
      <c r="BV46" s="177"/>
      <c r="BW46" s="177"/>
      <c r="BX46" s="177"/>
      <c r="BY46" s="177"/>
      <c r="BZ46" s="177"/>
      <c r="CA46" s="177"/>
      <c r="CB46" s="177"/>
      <c r="CC46" s="177"/>
      <c r="CD46" s="176"/>
      <c r="CE46" s="177"/>
      <c r="CF46" s="177"/>
      <c r="CG46" s="177"/>
      <c r="CH46" s="177"/>
      <c r="CI46" s="177"/>
      <c r="CJ46" s="177"/>
      <c r="CK46" s="177"/>
      <c r="CL46" s="177"/>
      <c r="CM46" s="176"/>
      <c r="CN46" s="177"/>
      <c r="CO46" s="177"/>
      <c r="CP46" s="177"/>
      <c r="CQ46" s="177"/>
      <c r="CR46" s="177"/>
      <c r="CS46" s="177"/>
      <c r="CT46" s="177"/>
      <c r="CU46" s="181"/>
      <c r="CV46" s="101"/>
    </row>
    <row r="47" spans="1:100" ht="12" customHeight="1" x14ac:dyDescent="0.25">
      <c r="A47" s="154" t="s">
        <v>1351</v>
      </c>
      <c r="B47" s="154"/>
      <c r="C47" s="154"/>
      <c r="D47" s="154"/>
      <c r="E47" s="154"/>
      <c r="F47" s="154"/>
      <c r="G47" s="154"/>
      <c r="H47" s="154"/>
      <c r="I47" s="155"/>
      <c r="J47" s="158">
        <v>18</v>
      </c>
      <c r="K47" s="159"/>
      <c r="L47" s="159"/>
      <c r="M47" s="159"/>
      <c r="N47" s="159"/>
      <c r="O47" s="159"/>
      <c r="P47" s="159"/>
      <c r="Q47" s="159"/>
      <c r="R47" s="159"/>
      <c r="S47" s="158">
        <v>17</v>
      </c>
      <c r="T47" s="159"/>
      <c r="U47" s="159"/>
      <c r="V47" s="159"/>
      <c r="W47" s="159"/>
      <c r="X47" s="159"/>
      <c r="Y47" s="159"/>
      <c r="Z47" s="159"/>
      <c r="AA47" s="159"/>
      <c r="AB47" s="158">
        <v>14</v>
      </c>
      <c r="AC47" s="159"/>
      <c r="AD47" s="159"/>
      <c r="AE47" s="159"/>
      <c r="AF47" s="159"/>
      <c r="AG47" s="159"/>
      <c r="AH47" s="159"/>
      <c r="AI47" s="159"/>
      <c r="AJ47" s="159"/>
      <c r="AK47" s="158">
        <v>13</v>
      </c>
      <c r="AL47" s="159"/>
      <c r="AM47" s="159"/>
      <c r="AN47" s="159"/>
      <c r="AO47" s="159"/>
      <c r="AP47" s="159"/>
      <c r="AQ47" s="159"/>
      <c r="AR47" s="159"/>
      <c r="AS47" s="159"/>
      <c r="AT47" s="158">
        <v>12</v>
      </c>
      <c r="AU47" s="159"/>
      <c r="AV47" s="159"/>
      <c r="AW47" s="159"/>
      <c r="AX47" s="159"/>
      <c r="AY47" s="159"/>
      <c r="AZ47" s="159"/>
      <c r="BA47" s="159"/>
      <c r="BB47" s="159"/>
      <c r="BC47" s="158">
        <v>9</v>
      </c>
      <c r="BD47" s="159"/>
      <c r="BE47" s="159"/>
      <c r="BF47" s="159"/>
      <c r="BG47" s="159"/>
      <c r="BH47" s="159"/>
      <c r="BI47" s="159"/>
      <c r="BJ47" s="159"/>
      <c r="BK47" s="159"/>
      <c r="BL47" s="158">
        <v>7</v>
      </c>
      <c r="BM47" s="159"/>
      <c r="BN47" s="159"/>
      <c r="BO47" s="159"/>
      <c r="BP47" s="159"/>
      <c r="BQ47" s="159"/>
      <c r="BR47" s="159"/>
      <c r="BS47" s="159"/>
      <c r="BT47" s="159"/>
      <c r="BU47" s="158">
        <v>14</v>
      </c>
      <c r="BV47" s="159"/>
      <c r="BW47" s="159"/>
      <c r="BX47" s="159"/>
      <c r="BY47" s="159"/>
      <c r="BZ47" s="159"/>
      <c r="CA47" s="159"/>
      <c r="CB47" s="159"/>
      <c r="CC47" s="159"/>
      <c r="CD47" s="158">
        <v>18</v>
      </c>
      <c r="CE47" s="159"/>
      <c r="CF47" s="159"/>
      <c r="CG47" s="159"/>
      <c r="CH47" s="159"/>
      <c r="CI47" s="159"/>
      <c r="CJ47" s="159"/>
      <c r="CK47" s="159"/>
      <c r="CL47" s="159"/>
      <c r="CM47" s="158">
        <v>15</v>
      </c>
      <c r="CN47" s="159"/>
      <c r="CO47" s="159"/>
      <c r="CP47" s="159"/>
      <c r="CQ47" s="159"/>
      <c r="CR47" s="159"/>
      <c r="CS47" s="159"/>
      <c r="CT47" s="159"/>
      <c r="CU47" s="211"/>
      <c r="CV47" s="101"/>
    </row>
    <row r="48" spans="1:100" ht="12" customHeight="1" x14ac:dyDescent="0.25">
      <c r="A48" s="154" t="s">
        <v>1352</v>
      </c>
      <c r="B48" s="154"/>
      <c r="C48" s="154"/>
      <c r="D48" s="154"/>
      <c r="E48" s="154"/>
      <c r="F48" s="154"/>
      <c r="G48" s="154"/>
      <c r="H48" s="154"/>
      <c r="I48" s="155"/>
      <c r="J48" s="158">
        <v>19</v>
      </c>
      <c r="K48" s="159"/>
      <c r="L48" s="159"/>
      <c r="M48" s="159"/>
      <c r="N48" s="159"/>
      <c r="O48" s="159"/>
      <c r="P48" s="159"/>
      <c r="Q48" s="159"/>
      <c r="R48" s="159"/>
      <c r="S48" s="158">
        <v>15</v>
      </c>
      <c r="T48" s="159"/>
      <c r="U48" s="159"/>
      <c r="V48" s="159"/>
      <c r="W48" s="159"/>
      <c r="X48" s="159"/>
      <c r="Y48" s="159"/>
      <c r="Z48" s="159"/>
      <c r="AA48" s="159"/>
      <c r="AB48" s="158">
        <v>11</v>
      </c>
      <c r="AC48" s="159"/>
      <c r="AD48" s="159"/>
      <c r="AE48" s="159"/>
      <c r="AF48" s="159"/>
      <c r="AG48" s="159"/>
      <c r="AH48" s="159"/>
      <c r="AI48" s="159"/>
      <c r="AJ48" s="159"/>
      <c r="AK48" s="158">
        <v>12</v>
      </c>
      <c r="AL48" s="159"/>
      <c r="AM48" s="159"/>
      <c r="AN48" s="159"/>
      <c r="AO48" s="159"/>
      <c r="AP48" s="159"/>
      <c r="AQ48" s="159"/>
      <c r="AR48" s="159"/>
      <c r="AS48" s="159"/>
      <c r="AT48" s="158">
        <v>17</v>
      </c>
      <c r="AU48" s="159"/>
      <c r="AV48" s="159"/>
      <c r="AW48" s="159"/>
      <c r="AX48" s="159"/>
      <c r="AY48" s="159"/>
      <c r="AZ48" s="159"/>
      <c r="BA48" s="159"/>
      <c r="BB48" s="159"/>
      <c r="BC48" s="158">
        <v>16</v>
      </c>
      <c r="BD48" s="159"/>
      <c r="BE48" s="159"/>
      <c r="BF48" s="159"/>
      <c r="BG48" s="159"/>
      <c r="BH48" s="159"/>
      <c r="BI48" s="159"/>
      <c r="BJ48" s="159"/>
      <c r="BK48" s="159"/>
      <c r="BL48" s="158">
        <v>6</v>
      </c>
      <c r="BM48" s="159"/>
      <c r="BN48" s="159"/>
      <c r="BO48" s="159"/>
      <c r="BP48" s="159"/>
      <c r="BQ48" s="159"/>
      <c r="BR48" s="159"/>
      <c r="BS48" s="159"/>
      <c r="BT48" s="159"/>
      <c r="BU48" s="158">
        <v>8</v>
      </c>
      <c r="BV48" s="159"/>
      <c r="BW48" s="159"/>
      <c r="BX48" s="159"/>
      <c r="BY48" s="159"/>
      <c r="BZ48" s="159"/>
      <c r="CA48" s="159"/>
      <c r="CB48" s="159"/>
      <c r="CC48" s="159"/>
      <c r="CD48" s="158">
        <v>12</v>
      </c>
      <c r="CE48" s="159"/>
      <c r="CF48" s="159"/>
      <c r="CG48" s="159"/>
      <c r="CH48" s="159"/>
      <c r="CI48" s="159"/>
      <c r="CJ48" s="159"/>
      <c r="CK48" s="159"/>
      <c r="CL48" s="159"/>
      <c r="CM48" s="158">
        <v>20</v>
      </c>
      <c r="CN48" s="159"/>
      <c r="CO48" s="159"/>
      <c r="CP48" s="159"/>
      <c r="CQ48" s="159"/>
      <c r="CR48" s="159"/>
      <c r="CS48" s="159"/>
      <c r="CT48" s="159"/>
      <c r="CU48" s="211"/>
      <c r="CV48" s="101"/>
    </row>
    <row r="49" spans="1:100" ht="12" customHeight="1" x14ac:dyDescent="0.25">
      <c r="A49" s="156" t="s">
        <v>1355</v>
      </c>
      <c r="B49" s="156"/>
      <c r="C49" s="156"/>
      <c r="D49" s="156"/>
      <c r="E49" s="156"/>
      <c r="F49" s="156"/>
      <c r="G49" s="156"/>
      <c r="H49" s="156"/>
      <c r="I49" s="157"/>
      <c r="J49" s="162">
        <v>12</v>
      </c>
      <c r="K49" s="163"/>
      <c r="L49" s="163"/>
      <c r="M49" s="163"/>
      <c r="N49" s="163"/>
      <c r="O49" s="163"/>
      <c r="P49" s="163"/>
      <c r="Q49" s="163"/>
      <c r="R49" s="163"/>
      <c r="S49" s="162">
        <v>14</v>
      </c>
      <c r="T49" s="163"/>
      <c r="U49" s="163"/>
      <c r="V49" s="163"/>
      <c r="W49" s="163"/>
      <c r="X49" s="163"/>
      <c r="Y49" s="163"/>
      <c r="Z49" s="163"/>
      <c r="AA49" s="163"/>
      <c r="AB49" s="162">
        <v>13</v>
      </c>
      <c r="AC49" s="163"/>
      <c r="AD49" s="163"/>
      <c r="AE49" s="163"/>
      <c r="AF49" s="163"/>
      <c r="AG49" s="163"/>
      <c r="AH49" s="163"/>
      <c r="AI49" s="163"/>
      <c r="AJ49" s="163"/>
      <c r="AK49" s="162">
        <v>12</v>
      </c>
      <c r="AL49" s="163"/>
      <c r="AM49" s="163"/>
      <c r="AN49" s="163"/>
      <c r="AO49" s="163"/>
      <c r="AP49" s="163"/>
      <c r="AQ49" s="163"/>
      <c r="AR49" s="163"/>
      <c r="AS49" s="163"/>
      <c r="AT49" s="162">
        <v>16</v>
      </c>
      <c r="AU49" s="163"/>
      <c r="AV49" s="163"/>
      <c r="AW49" s="163"/>
      <c r="AX49" s="163"/>
      <c r="AY49" s="163"/>
      <c r="AZ49" s="163"/>
      <c r="BA49" s="163"/>
      <c r="BB49" s="163"/>
      <c r="BC49" s="162">
        <v>10</v>
      </c>
      <c r="BD49" s="163"/>
      <c r="BE49" s="163"/>
      <c r="BF49" s="163"/>
      <c r="BG49" s="163"/>
      <c r="BH49" s="163"/>
      <c r="BI49" s="163"/>
      <c r="BJ49" s="163"/>
      <c r="BK49" s="163"/>
      <c r="BL49" s="162">
        <v>9</v>
      </c>
      <c r="BM49" s="163"/>
      <c r="BN49" s="163"/>
      <c r="BO49" s="163"/>
      <c r="BP49" s="163"/>
      <c r="BQ49" s="163"/>
      <c r="BR49" s="163"/>
      <c r="BS49" s="163"/>
      <c r="BT49" s="163"/>
      <c r="BU49" s="162">
        <v>13</v>
      </c>
      <c r="BV49" s="163"/>
      <c r="BW49" s="163"/>
      <c r="BX49" s="163"/>
      <c r="BY49" s="163"/>
      <c r="BZ49" s="163"/>
      <c r="CA49" s="163"/>
      <c r="CB49" s="163"/>
      <c r="CC49" s="163"/>
      <c r="CD49" s="162">
        <v>14</v>
      </c>
      <c r="CE49" s="163"/>
      <c r="CF49" s="163"/>
      <c r="CG49" s="163"/>
      <c r="CH49" s="163"/>
      <c r="CI49" s="163"/>
      <c r="CJ49" s="163"/>
      <c r="CK49" s="163"/>
      <c r="CL49" s="163"/>
      <c r="CM49" s="162">
        <v>13</v>
      </c>
      <c r="CN49" s="163"/>
      <c r="CO49" s="163"/>
      <c r="CP49" s="163"/>
      <c r="CQ49" s="163"/>
      <c r="CR49" s="163"/>
      <c r="CS49" s="163"/>
      <c r="CT49" s="163"/>
      <c r="CU49" s="206"/>
      <c r="CV49" s="101"/>
    </row>
    <row r="50" spans="1:100" ht="12" customHeight="1" x14ac:dyDescent="0.25">
      <c r="A50" s="156" t="s">
        <v>1362</v>
      </c>
      <c r="B50" s="156"/>
      <c r="C50" s="156"/>
      <c r="D50" s="156"/>
      <c r="E50" s="156"/>
      <c r="F50" s="156"/>
      <c r="G50" s="156"/>
      <c r="H50" s="156"/>
      <c r="I50" s="157"/>
      <c r="J50" s="162">
        <v>8</v>
      </c>
      <c r="K50" s="163"/>
      <c r="L50" s="163"/>
      <c r="M50" s="163"/>
      <c r="N50" s="163"/>
      <c r="O50" s="163"/>
      <c r="P50" s="163"/>
      <c r="Q50" s="163"/>
      <c r="R50" s="163"/>
      <c r="S50" s="162">
        <v>11</v>
      </c>
      <c r="T50" s="163"/>
      <c r="U50" s="163"/>
      <c r="V50" s="163"/>
      <c r="W50" s="163"/>
      <c r="X50" s="163"/>
      <c r="Y50" s="163"/>
      <c r="Z50" s="163"/>
      <c r="AA50" s="163"/>
      <c r="AB50" s="162">
        <v>12</v>
      </c>
      <c r="AC50" s="163"/>
      <c r="AD50" s="163"/>
      <c r="AE50" s="163"/>
      <c r="AF50" s="163"/>
      <c r="AG50" s="163"/>
      <c r="AH50" s="163"/>
      <c r="AI50" s="163"/>
      <c r="AJ50" s="163"/>
      <c r="AK50" s="162">
        <v>20</v>
      </c>
      <c r="AL50" s="163"/>
      <c r="AM50" s="163"/>
      <c r="AN50" s="163"/>
      <c r="AO50" s="163"/>
      <c r="AP50" s="163"/>
      <c r="AQ50" s="163"/>
      <c r="AR50" s="163"/>
      <c r="AS50" s="163"/>
      <c r="AT50" s="162">
        <v>18</v>
      </c>
      <c r="AU50" s="163"/>
      <c r="AV50" s="163"/>
      <c r="AW50" s="163"/>
      <c r="AX50" s="163"/>
      <c r="AY50" s="163"/>
      <c r="AZ50" s="163"/>
      <c r="BA50" s="163"/>
      <c r="BB50" s="163"/>
      <c r="BC50" s="162">
        <v>14</v>
      </c>
      <c r="BD50" s="163"/>
      <c r="BE50" s="163"/>
      <c r="BF50" s="163"/>
      <c r="BG50" s="163"/>
      <c r="BH50" s="163"/>
      <c r="BI50" s="163"/>
      <c r="BJ50" s="163"/>
      <c r="BK50" s="163"/>
      <c r="BL50" s="162">
        <v>14</v>
      </c>
      <c r="BM50" s="163"/>
      <c r="BN50" s="163"/>
      <c r="BO50" s="163"/>
      <c r="BP50" s="163"/>
      <c r="BQ50" s="163"/>
      <c r="BR50" s="163"/>
      <c r="BS50" s="163"/>
      <c r="BT50" s="163"/>
      <c r="BU50" s="162">
        <v>12</v>
      </c>
      <c r="BV50" s="163"/>
      <c r="BW50" s="163"/>
      <c r="BX50" s="163"/>
      <c r="BY50" s="163"/>
      <c r="BZ50" s="163"/>
      <c r="CA50" s="163"/>
      <c r="CB50" s="163"/>
      <c r="CC50" s="163"/>
      <c r="CD50" s="162">
        <v>20</v>
      </c>
      <c r="CE50" s="163"/>
      <c r="CF50" s="163"/>
      <c r="CG50" s="163"/>
      <c r="CH50" s="163"/>
      <c r="CI50" s="163"/>
      <c r="CJ50" s="163"/>
      <c r="CK50" s="163"/>
      <c r="CL50" s="163"/>
      <c r="CM50" s="162">
        <v>12</v>
      </c>
      <c r="CN50" s="163"/>
      <c r="CO50" s="163"/>
      <c r="CP50" s="163"/>
      <c r="CQ50" s="163"/>
      <c r="CR50" s="163"/>
      <c r="CS50" s="163"/>
      <c r="CT50" s="163"/>
      <c r="CU50" s="206"/>
      <c r="CV50" s="101"/>
    </row>
    <row r="51" spans="1:100" ht="12" customHeight="1" x14ac:dyDescent="0.25">
      <c r="A51" s="156" t="s">
        <v>4</v>
      </c>
      <c r="B51" s="156"/>
      <c r="C51" s="156"/>
      <c r="D51" s="156"/>
      <c r="E51" s="156"/>
      <c r="F51" s="156"/>
      <c r="G51" s="156"/>
      <c r="H51" s="156"/>
      <c r="I51" s="157"/>
      <c r="J51" s="162">
        <v>12</v>
      </c>
      <c r="K51" s="163"/>
      <c r="L51" s="163"/>
      <c r="M51" s="163"/>
      <c r="N51" s="163"/>
      <c r="O51" s="163"/>
      <c r="P51" s="163"/>
      <c r="Q51" s="163"/>
      <c r="R51" s="163"/>
      <c r="S51" s="162">
        <v>13</v>
      </c>
      <c r="T51" s="163"/>
      <c r="U51" s="163"/>
      <c r="V51" s="163"/>
      <c r="W51" s="163"/>
      <c r="X51" s="163"/>
      <c r="Y51" s="163"/>
      <c r="Z51" s="163"/>
      <c r="AA51" s="163"/>
      <c r="AB51" s="162">
        <v>11</v>
      </c>
      <c r="AC51" s="163"/>
      <c r="AD51" s="163"/>
      <c r="AE51" s="163"/>
      <c r="AF51" s="163"/>
      <c r="AG51" s="163"/>
      <c r="AH51" s="163"/>
      <c r="AI51" s="163"/>
      <c r="AJ51" s="163"/>
      <c r="AK51" s="162">
        <v>14</v>
      </c>
      <c r="AL51" s="163"/>
      <c r="AM51" s="163"/>
      <c r="AN51" s="163"/>
      <c r="AO51" s="163"/>
      <c r="AP51" s="163"/>
      <c r="AQ51" s="163"/>
      <c r="AR51" s="163"/>
      <c r="AS51" s="163"/>
      <c r="AT51" s="162">
        <v>18</v>
      </c>
      <c r="AU51" s="163"/>
      <c r="AV51" s="163"/>
      <c r="AW51" s="163"/>
      <c r="AX51" s="163"/>
      <c r="AY51" s="163"/>
      <c r="AZ51" s="163"/>
      <c r="BA51" s="163"/>
      <c r="BB51" s="163"/>
      <c r="BC51" s="162">
        <v>20</v>
      </c>
      <c r="BD51" s="163"/>
      <c r="BE51" s="163"/>
      <c r="BF51" s="163"/>
      <c r="BG51" s="163"/>
      <c r="BH51" s="163"/>
      <c r="BI51" s="163"/>
      <c r="BJ51" s="163"/>
      <c r="BK51" s="163"/>
      <c r="BL51" s="162">
        <v>22</v>
      </c>
      <c r="BM51" s="163"/>
      <c r="BN51" s="163"/>
      <c r="BO51" s="163"/>
      <c r="BP51" s="163"/>
      <c r="BQ51" s="163"/>
      <c r="BR51" s="163"/>
      <c r="BS51" s="163"/>
      <c r="BT51" s="163"/>
      <c r="BU51" s="162">
        <v>10</v>
      </c>
      <c r="BV51" s="163"/>
      <c r="BW51" s="163"/>
      <c r="BX51" s="163"/>
      <c r="BY51" s="163"/>
      <c r="BZ51" s="163"/>
      <c r="CA51" s="163"/>
      <c r="CB51" s="163"/>
      <c r="CC51" s="163"/>
      <c r="CD51" s="162">
        <v>8</v>
      </c>
      <c r="CE51" s="163"/>
      <c r="CF51" s="163"/>
      <c r="CG51" s="163"/>
      <c r="CH51" s="163"/>
      <c r="CI51" s="163"/>
      <c r="CJ51" s="163"/>
      <c r="CK51" s="163"/>
      <c r="CL51" s="163"/>
      <c r="CM51" s="162">
        <v>6</v>
      </c>
      <c r="CN51" s="163"/>
      <c r="CO51" s="163"/>
      <c r="CP51" s="163"/>
      <c r="CQ51" s="163"/>
      <c r="CR51" s="163"/>
      <c r="CS51" s="163"/>
      <c r="CT51" s="163"/>
      <c r="CU51" s="206"/>
      <c r="CV51" s="101"/>
    </row>
    <row r="52" spans="1:100" ht="12" customHeight="1" x14ac:dyDescent="0.25">
      <c r="A52" s="166" t="s">
        <v>1354</v>
      </c>
      <c r="B52" s="166"/>
      <c r="C52" s="166"/>
      <c r="D52" s="166"/>
      <c r="E52" s="166"/>
      <c r="F52" s="166"/>
      <c r="G52" s="166"/>
      <c r="H52" s="166"/>
      <c r="I52" s="167"/>
      <c r="J52" s="174" t="str">
        <f>LiftingCarrying(J51,J21,LiftCarry[])</f>
        <v>Push/Drag/Lift: 180_x000D_
 Carrying Capacity: 360</v>
      </c>
      <c r="K52" s="175"/>
      <c r="L52" s="175"/>
      <c r="M52" s="175"/>
      <c r="N52" s="175"/>
      <c r="O52" s="175"/>
      <c r="P52" s="175"/>
      <c r="Q52" s="175"/>
      <c r="R52" s="175"/>
      <c r="S52" s="174" t="str">
        <f>LiftingCarrying(S51,S21,LiftCarry[])</f>
        <v>Push/Drag/Lift: 195_x000D_
 Carrying Capacity: 390</v>
      </c>
      <c r="T52" s="175"/>
      <c r="U52" s="175"/>
      <c r="V52" s="175"/>
      <c r="W52" s="175"/>
      <c r="X52" s="175"/>
      <c r="Y52" s="175"/>
      <c r="Z52" s="175"/>
      <c r="AA52" s="175"/>
      <c r="AB52" s="174" t="str">
        <f>LiftingCarrying(AB51,AB21,LiftCarry[])</f>
        <v>Push/Drag/Lift: 165_x000D_
 Carrying Capacity: 330</v>
      </c>
      <c r="AC52" s="175"/>
      <c r="AD52" s="175"/>
      <c r="AE52" s="175"/>
      <c r="AF52" s="175"/>
      <c r="AG52" s="175"/>
      <c r="AH52" s="175"/>
      <c r="AI52" s="175"/>
      <c r="AJ52" s="175"/>
      <c r="AK52" s="174" t="str">
        <f>LiftingCarrying(AK51,AK21,LiftCarry[])</f>
        <v>Push/Drag/Lift: 420_x000D_
 Carrying Capacity: 840</v>
      </c>
      <c r="AL52" s="175"/>
      <c r="AM52" s="175"/>
      <c r="AN52" s="175"/>
      <c r="AO52" s="175"/>
      <c r="AP52" s="175"/>
      <c r="AQ52" s="175"/>
      <c r="AR52" s="175"/>
      <c r="AS52" s="175"/>
      <c r="AT52" s="174" t="str">
        <f>LiftingCarrying(AT51,AT21,LiftCarry[])</f>
        <v>Push/Drag/Lift: 270_x000D_
 Carrying Capacity: 540</v>
      </c>
      <c r="AU52" s="175"/>
      <c r="AV52" s="175"/>
      <c r="AW52" s="175"/>
      <c r="AX52" s="175"/>
      <c r="AY52" s="175"/>
      <c r="AZ52" s="175"/>
      <c r="BA52" s="175"/>
      <c r="BB52" s="175"/>
      <c r="BC52" s="174" t="str">
        <f>LiftingCarrying(BC51,BC21,LiftCarry[])</f>
        <v>Push/Drag/Lift: 300_x000D_
 Carrying Capacity: 600</v>
      </c>
      <c r="BD52" s="175"/>
      <c r="BE52" s="175"/>
      <c r="BF52" s="175"/>
      <c r="BG52" s="175"/>
      <c r="BH52" s="175"/>
      <c r="BI52" s="175"/>
      <c r="BJ52" s="175"/>
      <c r="BK52" s="175"/>
      <c r="BL52" s="174" t="str">
        <f>LiftingCarrying(BL51,BL21,LiftCarry[])</f>
        <v>Push/Drag/Lift: 330_x000D_
 Carrying Capacity: 660</v>
      </c>
      <c r="BM52" s="175"/>
      <c r="BN52" s="175"/>
      <c r="BO52" s="175"/>
      <c r="BP52" s="175"/>
      <c r="BQ52" s="175"/>
      <c r="BR52" s="175"/>
      <c r="BS52" s="175"/>
      <c r="BT52" s="175"/>
      <c r="BU52" s="174" t="str">
        <f>LiftingCarrying(BU51,BU21,LiftCarry[])</f>
        <v>Push/Drag/Lift: 150_x000D_
 Carrying Capacity: 300</v>
      </c>
      <c r="BV52" s="175"/>
      <c r="BW52" s="175"/>
      <c r="BX52" s="175"/>
      <c r="BY52" s="175"/>
      <c r="BZ52" s="175"/>
      <c r="CA52" s="175"/>
      <c r="CB52" s="175"/>
      <c r="CC52" s="175"/>
      <c r="CD52" s="174" t="str">
        <f>LiftingCarrying(CD51,CD21,LiftCarry[])</f>
        <v>Push/Drag/Lift: 120_x000D_
 Carrying Capacity: 240</v>
      </c>
      <c r="CE52" s="175"/>
      <c r="CF52" s="175"/>
      <c r="CG52" s="175"/>
      <c r="CH52" s="175"/>
      <c r="CI52" s="175"/>
      <c r="CJ52" s="175"/>
      <c r="CK52" s="175"/>
      <c r="CL52" s="175"/>
      <c r="CM52" s="174" t="str">
        <f>LiftingCarrying(CM51,CM21,LiftCarry[])</f>
        <v>Push/Drag/Lift: 90_x000D_
 Carrying Capacity: 180</v>
      </c>
      <c r="CN52" s="175"/>
      <c r="CO52" s="175"/>
      <c r="CP52" s="175"/>
      <c r="CQ52" s="175"/>
      <c r="CR52" s="175"/>
      <c r="CS52" s="175"/>
      <c r="CT52" s="175"/>
      <c r="CU52" s="226"/>
      <c r="CV52" s="101"/>
    </row>
    <row r="53" spans="1:100" ht="12" customHeight="1" x14ac:dyDescent="0.25">
      <c r="A53" s="166"/>
      <c r="B53" s="166"/>
      <c r="C53" s="166"/>
      <c r="D53" s="166"/>
      <c r="E53" s="166"/>
      <c r="F53" s="166"/>
      <c r="G53" s="166"/>
      <c r="H53" s="166"/>
      <c r="I53" s="167"/>
      <c r="J53" s="174"/>
      <c r="K53" s="175"/>
      <c r="L53" s="175"/>
      <c r="M53" s="175"/>
      <c r="N53" s="175"/>
      <c r="O53" s="175"/>
      <c r="P53" s="175"/>
      <c r="Q53" s="175"/>
      <c r="R53" s="175"/>
      <c r="S53" s="174"/>
      <c r="T53" s="175"/>
      <c r="U53" s="175"/>
      <c r="V53" s="175"/>
      <c r="W53" s="175"/>
      <c r="X53" s="175"/>
      <c r="Y53" s="175"/>
      <c r="Z53" s="175"/>
      <c r="AA53" s="175"/>
      <c r="AB53" s="174"/>
      <c r="AC53" s="175"/>
      <c r="AD53" s="175"/>
      <c r="AE53" s="175"/>
      <c r="AF53" s="175"/>
      <c r="AG53" s="175"/>
      <c r="AH53" s="175"/>
      <c r="AI53" s="175"/>
      <c r="AJ53" s="175"/>
      <c r="AK53" s="174"/>
      <c r="AL53" s="175"/>
      <c r="AM53" s="175"/>
      <c r="AN53" s="175"/>
      <c r="AO53" s="175"/>
      <c r="AP53" s="175"/>
      <c r="AQ53" s="175"/>
      <c r="AR53" s="175"/>
      <c r="AS53" s="175"/>
      <c r="AT53" s="174"/>
      <c r="AU53" s="175"/>
      <c r="AV53" s="175"/>
      <c r="AW53" s="175"/>
      <c r="AX53" s="175"/>
      <c r="AY53" s="175"/>
      <c r="AZ53" s="175"/>
      <c r="BA53" s="175"/>
      <c r="BB53" s="175"/>
      <c r="BC53" s="174"/>
      <c r="BD53" s="175"/>
      <c r="BE53" s="175"/>
      <c r="BF53" s="175"/>
      <c r="BG53" s="175"/>
      <c r="BH53" s="175"/>
      <c r="BI53" s="175"/>
      <c r="BJ53" s="175"/>
      <c r="BK53" s="175"/>
      <c r="BL53" s="174"/>
      <c r="BM53" s="175"/>
      <c r="BN53" s="175"/>
      <c r="BO53" s="175"/>
      <c r="BP53" s="175"/>
      <c r="BQ53" s="175"/>
      <c r="BR53" s="175"/>
      <c r="BS53" s="175"/>
      <c r="BT53" s="175"/>
      <c r="BU53" s="174"/>
      <c r="BV53" s="175"/>
      <c r="BW53" s="175"/>
      <c r="BX53" s="175"/>
      <c r="BY53" s="175"/>
      <c r="BZ53" s="175"/>
      <c r="CA53" s="175"/>
      <c r="CB53" s="175"/>
      <c r="CC53" s="175"/>
      <c r="CD53" s="174"/>
      <c r="CE53" s="175"/>
      <c r="CF53" s="175"/>
      <c r="CG53" s="175"/>
      <c r="CH53" s="175"/>
      <c r="CI53" s="175"/>
      <c r="CJ53" s="175"/>
      <c r="CK53" s="175"/>
      <c r="CL53" s="175"/>
      <c r="CM53" s="174"/>
      <c r="CN53" s="175"/>
      <c r="CO53" s="175"/>
      <c r="CP53" s="175"/>
      <c r="CQ53" s="175"/>
      <c r="CR53" s="175"/>
      <c r="CS53" s="175"/>
      <c r="CT53" s="175"/>
      <c r="CU53" s="226"/>
      <c r="CV53" s="101"/>
    </row>
    <row r="54" spans="1:100" ht="12" customHeight="1" x14ac:dyDescent="0.25">
      <c r="A54" s="166"/>
      <c r="B54" s="166"/>
      <c r="C54" s="166"/>
      <c r="D54" s="166"/>
      <c r="E54" s="166"/>
      <c r="F54" s="166"/>
      <c r="G54" s="166"/>
      <c r="H54" s="166"/>
      <c r="I54" s="167"/>
      <c r="J54" s="174"/>
      <c r="K54" s="175"/>
      <c r="L54" s="175"/>
      <c r="M54" s="175"/>
      <c r="N54" s="175"/>
      <c r="O54" s="175"/>
      <c r="P54" s="175"/>
      <c r="Q54" s="175"/>
      <c r="R54" s="175"/>
      <c r="S54" s="174"/>
      <c r="T54" s="175"/>
      <c r="U54" s="175"/>
      <c r="V54" s="175"/>
      <c r="W54" s="175"/>
      <c r="X54" s="175"/>
      <c r="Y54" s="175"/>
      <c r="Z54" s="175"/>
      <c r="AA54" s="175"/>
      <c r="AB54" s="174"/>
      <c r="AC54" s="175"/>
      <c r="AD54" s="175"/>
      <c r="AE54" s="175"/>
      <c r="AF54" s="175"/>
      <c r="AG54" s="175"/>
      <c r="AH54" s="175"/>
      <c r="AI54" s="175"/>
      <c r="AJ54" s="175"/>
      <c r="AK54" s="174"/>
      <c r="AL54" s="175"/>
      <c r="AM54" s="175"/>
      <c r="AN54" s="175"/>
      <c r="AO54" s="175"/>
      <c r="AP54" s="175"/>
      <c r="AQ54" s="175"/>
      <c r="AR54" s="175"/>
      <c r="AS54" s="175"/>
      <c r="AT54" s="174"/>
      <c r="AU54" s="175"/>
      <c r="AV54" s="175"/>
      <c r="AW54" s="175"/>
      <c r="AX54" s="175"/>
      <c r="AY54" s="175"/>
      <c r="AZ54" s="175"/>
      <c r="BA54" s="175"/>
      <c r="BB54" s="175"/>
      <c r="BC54" s="174"/>
      <c r="BD54" s="175"/>
      <c r="BE54" s="175"/>
      <c r="BF54" s="175"/>
      <c r="BG54" s="175"/>
      <c r="BH54" s="175"/>
      <c r="BI54" s="175"/>
      <c r="BJ54" s="175"/>
      <c r="BK54" s="175"/>
      <c r="BL54" s="174"/>
      <c r="BM54" s="175"/>
      <c r="BN54" s="175"/>
      <c r="BO54" s="175"/>
      <c r="BP54" s="175"/>
      <c r="BQ54" s="175"/>
      <c r="BR54" s="175"/>
      <c r="BS54" s="175"/>
      <c r="BT54" s="175"/>
      <c r="BU54" s="174"/>
      <c r="BV54" s="175"/>
      <c r="BW54" s="175"/>
      <c r="BX54" s="175"/>
      <c r="BY54" s="175"/>
      <c r="BZ54" s="175"/>
      <c r="CA54" s="175"/>
      <c r="CB54" s="175"/>
      <c r="CC54" s="175"/>
      <c r="CD54" s="174"/>
      <c r="CE54" s="175"/>
      <c r="CF54" s="175"/>
      <c r="CG54" s="175"/>
      <c r="CH54" s="175"/>
      <c r="CI54" s="175"/>
      <c r="CJ54" s="175"/>
      <c r="CK54" s="175"/>
      <c r="CL54" s="175"/>
      <c r="CM54" s="174"/>
      <c r="CN54" s="175"/>
      <c r="CO54" s="175"/>
      <c r="CP54" s="175"/>
      <c r="CQ54" s="175"/>
      <c r="CR54" s="175"/>
      <c r="CS54" s="175"/>
      <c r="CT54" s="175"/>
      <c r="CU54" s="226"/>
      <c r="CV54" s="101"/>
    </row>
    <row r="55" spans="1:100" ht="12" customHeight="1" x14ac:dyDescent="0.25">
      <c r="A55" s="166" t="s">
        <v>1358</v>
      </c>
      <c r="B55" s="166"/>
      <c r="C55" s="166"/>
      <c r="D55" s="166"/>
      <c r="E55" s="166"/>
      <c r="F55" s="166"/>
      <c r="G55" s="166"/>
      <c r="H55" s="166"/>
      <c r="I55" s="167"/>
      <c r="J55" s="162"/>
      <c r="K55" s="163"/>
      <c r="L55" s="163"/>
      <c r="M55" s="163"/>
      <c r="N55" s="163"/>
      <c r="O55" s="163"/>
      <c r="P55" s="163"/>
      <c r="Q55" s="163"/>
      <c r="R55" s="163"/>
      <c r="S55" s="162"/>
      <c r="T55" s="163"/>
      <c r="U55" s="163"/>
      <c r="V55" s="163"/>
      <c r="W55" s="163"/>
      <c r="X55" s="163"/>
      <c r="Y55" s="163"/>
      <c r="Z55" s="163"/>
      <c r="AA55" s="163"/>
      <c r="AB55" s="162"/>
      <c r="AC55" s="163"/>
      <c r="AD55" s="163"/>
      <c r="AE55" s="163"/>
      <c r="AF55" s="163"/>
      <c r="AG55" s="163"/>
      <c r="AH55" s="163"/>
      <c r="AI55" s="163"/>
      <c r="AJ55" s="163"/>
      <c r="AK55" s="162" t="s">
        <v>1086</v>
      </c>
      <c r="AL55" s="163"/>
      <c r="AM55" s="163"/>
      <c r="AN55" s="163"/>
      <c r="AO55" s="163"/>
      <c r="AP55" s="163"/>
      <c r="AQ55" s="163"/>
      <c r="AR55" s="163"/>
      <c r="AS55" s="163"/>
      <c r="AT55" s="162"/>
      <c r="AU55" s="163"/>
      <c r="AV55" s="163"/>
      <c r="AW55" s="163"/>
      <c r="AX55" s="163"/>
      <c r="AY55" s="163"/>
      <c r="AZ55" s="163"/>
      <c r="BA55" s="163"/>
      <c r="BB55" s="163"/>
      <c r="BC55" s="162"/>
      <c r="BD55" s="163"/>
      <c r="BE55" s="163"/>
      <c r="BF55" s="163"/>
      <c r="BG55" s="163"/>
      <c r="BH55" s="163"/>
      <c r="BI55" s="163"/>
      <c r="BJ55" s="163"/>
      <c r="BK55" s="163"/>
      <c r="BL55" s="162"/>
      <c r="BM55" s="163"/>
      <c r="BN55" s="163"/>
      <c r="BO55" s="163"/>
      <c r="BP55" s="163"/>
      <c r="BQ55" s="163"/>
      <c r="BR55" s="163"/>
      <c r="BS55" s="163"/>
      <c r="BT55" s="163"/>
      <c r="BU55" s="162" t="s">
        <v>1086</v>
      </c>
      <c r="BV55" s="163"/>
      <c r="BW55" s="163"/>
      <c r="BX55" s="163"/>
      <c r="BY55" s="163"/>
      <c r="BZ55" s="163"/>
      <c r="CA55" s="163"/>
      <c r="CB55" s="163"/>
      <c r="CC55" s="163"/>
      <c r="CD55" s="162"/>
      <c r="CE55" s="163"/>
      <c r="CF55" s="163"/>
      <c r="CG55" s="163"/>
      <c r="CH55" s="163"/>
      <c r="CI55" s="163"/>
      <c r="CJ55" s="163"/>
      <c r="CK55" s="163"/>
      <c r="CL55" s="163"/>
      <c r="CM55" s="162"/>
      <c r="CN55" s="163"/>
      <c r="CO55" s="163"/>
      <c r="CP55" s="163"/>
      <c r="CQ55" s="163"/>
      <c r="CR55" s="163"/>
      <c r="CS55" s="163"/>
      <c r="CT55" s="163"/>
      <c r="CU55" s="206"/>
      <c r="CV55" s="101"/>
    </row>
    <row r="56" spans="1:100" ht="12" customHeight="1" x14ac:dyDescent="0.25">
      <c r="A56" s="166" t="s">
        <v>1359</v>
      </c>
      <c r="B56" s="166"/>
      <c r="C56" s="166"/>
      <c r="D56" s="166"/>
      <c r="E56" s="166"/>
      <c r="F56" s="166"/>
      <c r="G56" s="166"/>
      <c r="H56" s="166"/>
      <c r="I56" s="167"/>
      <c r="J56" s="162" t="s">
        <v>1183</v>
      </c>
      <c r="K56" s="163"/>
      <c r="L56" s="163"/>
      <c r="M56" s="163"/>
      <c r="N56" s="163"/>
      <c r="O56" s="163"/>
      <c r="P56" s="163"/>
      <c r="Q56" s="163"/>
      <c r="R56" s="163"/>
      <c r="S56" s="162" t="s">
        <v>1197</v>
      </c>
      <c r="T56" s="163"/>
      <c r="U56" s="163"/>
      <c r="V56" s="163"/>
      <c r="W56" s="163"/>
      <c r="X56" s="163"/>
      <c r="Y56" s="163"/>
      <c r="Z56" s="163"/>
      <c r="AA56" s="163"/>
      <c r="AB56" s="162"/>
      <c r="AC56" s="163"/>
      <c r="AD56" s="163"/>
      <c r="AE56" s="163"/>
      <c r="AF56" s="163"/>
      <c r="AG56" s="163"/>
      <c r="AH56" s="163"/>
      <c r="AI56" s="163"/>
      <c r="AJ56" s="163"/>
      <c r="AK56" s="162" t="s">
        <v>1187</v>
      </c>
      <c r="AL56" s="163"/>
      <c r="AM56" s="163"/>
      <c r="AN56" s="163"/>
      <c r="AO56" s="163"/>
      <c r="AP56" s="163"/>
      <c r="AQ56" s="163"/>
      <c r="AR56" s="163"/>
      <c r="AS56" s="163"/>
      <c r="AT56" s="162"/>
      <c r="AU56" s="163"/>
      <c r="AV56" s="163"/>
      <c r="AW56" s="163"/>
      <c r="AX56" s="163"/>
      <c r="AY56" s="163"/>
      <c r="AZ56" s="163"/>
      <c r="BA56" s="163"/>
      <c r="BB56" s="163"/>
      <c r="BC56" s="162" t="s">
        <v>1214</v>
      </c>
      <c r="BD56" s="163"/>
      <c r="BE56" s="163"/>
      <c r="BF56" s="163"/>
      <c r="BG56" s="163"/>
      <c r="BH56" s="163"/>
      <c r="BI56" s="163"/>
      <c r="BJ56" s="163"/>
      <c r="BK56" s="163"/>
      <c r="BL56" s="162" t="s">
        <v>1183</v>
      </c>
      <c r="BM56" s="163"/>
      <c r="BN56" s="163"/>
      <c r="BO56" s="163"/>
      <c r="BP56" s="163"/>
      <c r="BQ56" s="163"/>
      <c r="BR56" s="163"/>
      <c r="BS56" s="163"/>
      <c r="BT56" s="163"/>
      <c r="BU56" s="162" t="s">
        <v>1210</v>
      </c>
      <c r="BV56" s="163"/>
      <c r="BW56" s="163"/>
      <c r="BX56" s="163"/>
      <c r="BY56" s="163"/>
      <c r="BZ56" s="163"/>
      <c r="CA56" s="163"/>
      <c r="CB56" s="163"/>
      <c r="CC56" s="163"/>
      <c r="CD56" s="162" t="s">
        <v>1191</v>
      </c>
      <c r="CE56" s="163"/>
      <c r="CF56" s="163"/>
      <c r="CG56" s="163"/>
      <c r="CH56" s="163"/>
      <c r="CI56" s="163"/>
      <c r="CJ56" s="163"/>
      <c r="CK56" s="163"/>
      <c r="CL56" s="163"/>
      <c r="CM56" s="162" t="s">
        <v>1191</v>
      </c>
      <c r="CN56" s="163"/>
      <c r="CO56" s="163"/>
      <c r="CP56" s="163"/>
      <c r="CQ56" s="163"/>
      <c r="CR56" s="163"/>
      <c r="CS56" s="163"/>
      <c r="CT56" s="163"/>
      <c r="CU56" s="206"/>
      <c r="CV56" s="101"/>
    </row>
    <row r="57" spans="1:100" ht="12" customHeight="1" x14ac:dyDescent="0.25">
      <c r="A57" s="166"/>
      <c r="B57" s="166"/>
      <c r="C57" s="166"/>
      <c r="D57" s="166"/>
      <c r="E57" s="166"/>
      <c r="F57" s="166"/>
      <c r="G57" s="166"/>
      <c r="H57" s="166"/>
      <c r="I57" s="167"/>
      <c r="J57" s="162"/>
      <c r="K57" s="163"/>
      <c r="L57" s="163"/>
      <c r="M57" s="163"/>
      <c r="N57" s="163"/>
      <c r="O57" s="163"/>
      <c r="P57" s="163"/>
      <c r="Q57" s="163"/>
      <c r="R57" s="163"/>
      <c r="S57" s="162"/>
      <c r="T57" s="163"/>
      <c r="U57" s="163"/>
      <c r="V57" s="163"/>
      <c r="W57" s="163"/>
      <c r="X57" s="163"/>
      <c r="Y57" s="163"/>
      <c r="Z57" s="163"/>
      <c r="AA57" s="163"/>
      <c r="AB57" s="162"/>
      <c r="AC57" s="163"/>
      <c r="AD57" s="163"/>
      <c r="AE57" s="163"/>
      <c r="AF57" s="163"/>
      <c r="AG57" s="163"/>
      <c r="AH57" s="163"/>
      <c r="AI57" s="163"/>
      <c r="AJ57" s="163"/>
      <c r="AK57" s="162"/>
      <c r="AL57" s="163"/>
      <c r="AM57" s="163"/>
      <c r="AN57" s="163"/>
      <c r="AO57" s="163"/>
      <c r="AP57" s="163"/>
      <c r="AQ57" s="163"/>
      <c r="AR57" s="163"/>
      <c r="AS57" s="163"/>
      <c r="AT57" s="162"/>
      <c r="AU57" s="163"/>
      <c r="AV57" s="163"/>
      <c r="AW57" s="163"/>
      <c r="AX57" s="163"/>
      <c r="AY57" s="163"/>
      <c r="AZ57" s="163"/>
      <c r="BA57" s="163"/>
      <c r="BB57" s="163"/>
      <c r="BC57" s="162"/>
      <c r="BD57" s="163"/>
      <c r="BE57" s="163"/>
      <c r="BF57" s="163"/>
      <c r="BG57" s="163"/>
      <c r="BH57" s="163"/>
      <c r="BI57" s="163"/>
      <c r="BJ57" s="163"/>
      <c r="BK57" s="163"/>
      <c r="BL57" s="162"/>
      <c r="BM57" s="163"/>
      <c r="BN57" s="163"/>
      <c r="BO57" s="163"/>
      <c r="BP57" s="163"/>
      <c r="BQ57" s="163"/>
      <c r="BR57" s="163"/>
      <c r="BS57" s="163"/>
      <c r="BT57" s="163"/>
      <c r="BU57" s="162"/>
      <c r="BV57" s="163"/>
      <c r="BW57" s="163"/>
      <c r="BX57" s="163"/>
      <c r="BY57" s="163"/>
      <c r="BZ57" s="163"/>
      <c r="CA57" s="163"/>
      <c r="CB57" s="163"/>
      <c r="CC57" s="163"/>
      <c r="CD57" s="162"/>
      <c r="CE57" s="163"/>
      <c r="CF57" s="163"/>
      <c r="CG57" s="163"/>
      <c r="CH57" s="163"/>
      <c r="CI57" s="163"/>
      <c r="CJ57" s="163"/>
      <c r="CK57" s="163"/>
      <c r="CL57" s="163"/>
      <c r="CM57" s="162"/>
      <c r="CN57" s="163"/>
      <c r="CO57" s="163"/>
      <c r="CP57" s="163"/>
      <c r="CQ57" s="163"/>
      <c r="CR57" s="163"/>
      <c r="CS57" s="163"/>
      <c r="CT57" s="163"/>
      <c r="CU57" s="206"/>
      <c r="CV57" s="101"/>
    </row>
    <row r="58" spans="1:100" ht="12" customHeight="1" x14ac:dyDescent="0.25">
      <c r="A58" s="160" t="s">
        <v>1360</v>
      </c>
      <c r="B58" s="160"/>
      <c r="C58" s="160"/>
      <c r="D58" s="160"/>
      <c r="E58" s="160"/>
      <c r="F58" s="160"/>
      <c r="G58" s="160"/>
      <c r="H58" s="160"/>
      <c r="I58" s="161"/>
      <c r="J58" s="168" t="str">
        <f>IF(_xlfn.IFNA(VLOOKUP(J56,Armor[],5,FALSE) &amp; ": " &amp; VLOOKUP(J56,Armor[],4,FALSE),"")=0,"",_xlfn.IFNA(VLOOKUP(J56,Armor[],5,FALSE) &amp; ": " &amp; VLOOKUP(J56,Armor[],4,FALSE),""))</f>
        <v>Light Armor: AC: 12+Dex Modifier</v>
      </c>
      <c r="K58" s="169"/>
      <c r="L58" s="169"/>
      <c r="M58" s="169"/>
      <c r="N58" s="169"/>
      <c r="O58" s="169"/>
      <c r="P58" s="169"/>
      <c r="Q58" s="169"/>
      <c r="R58" s="169"/>
      <c r="S58" s="168" t="str">
        <f>IF(_xlfn.IFNA(VLOOKUP(S56,Armor[],5,FALSE) &amp; ": " &amp; VLOOKUP(S56,Armor[],4,FALSE),"")=0,"",_xlfn.IFNA(VLOOKUP(S56,Armor[],5,FALSE) &amp; ": " &amp; VLOOKUP(S56,Armor[],4,FALSE),""))</f>
        <v>Medium Armor: AC: 14+Dex Modifier (Max 2)</v>
      </c>
      <c r="T58" s="169"/>
      <c r="U58" s="169"/>
      <c r="V58" s="169"/>
      <c r="W58" s="169"/>
      <c r="X58" s="169"/>
      <c r="Y58" s="169"/>
      <c r="Z58" s="169"/>
      <c r="AA58" s="169"/>
      <c r="AB58" s="168" t="str">
        <f>IF(_xlfn.IFNA(VLOOKUP(AB56,Armor[],5,FALSE) &amp; ": " &amp; VLOOKUP(AB56,Armor[],4,FALSE),"")=0,"",_xlfn.IFNA(VLOOKUP(AB56,Armor[],5,FALSE) &amp; ": " &amp; VLOOKUP(AB56,Armor[],4,FALSE),""))</f>
        <v/>
      </c>
      <c r="AC58" s="169"/>
      <c r="AD58" s="169"/>
      <c r="AE58" s="169"/>
      <c r="AF58" s="169"/>
      <c r="AG58" s="169"/>
      <c r="AH58" s="169"/>
      <c r="AI58" s="169"/>
      <c r="AJ58" s="169"/>
      <c r="AK58" s="168" t="str">
        <f>IF(_xlfn.IFNA(VLOOKUP(AK56,Armor[],5,FALSE) &amp; ": " &amp; VLOOKUP(AK56,Armor[],4,FALSE),"")=0,"",_xlfn.IFNA(VLOOKUP(AK56,Armor[],5,FALSE) &amp; ": " &amp; VLOOKUP(AK56,Armor[],4,FALSE),""))</f>
        <v>Medium Armor: AC: 12+Dex Modifier (Max 2)</v>
      </c>
      <c r="AL58" s="169"/>
      <c r="AM58" s="169"/>
      <c r="AN58" s="169"/>
      <c r="AO58" s="169"/>
      <c r="AP58" s="169"/>
      <c r="AQ58" s="169"/>
      <c r="AR58" s="169"/>
      <c r="AS58" s="169"/>
      <c r="AT58" s="168" t="str">
        <f>IF(_xlfn.IFNA(VLOOKUP(AT56,Armor[],5,FALSE) &amp; ": " &amp; VLOOKUP(AT56,Armor[],4,FALSE),"")=0,"",_xlfn.IFNA(VLOOKUP(AT56,Armor[],5,FALSE) &amp; ": " &amp; VLOOKUP(AT56,Armor[],4,FALSE),""))</f>
        <v/>
      </c>
      <c r="AU58" s="169"/>
      <c r="AV58" s="169"/>
      <c r="AW58" s="169"/>
      <c r="AX58" s="169"/>
      <c r="AY58" s="169"/>
      <c r="AZ58" s="169"/>
      <c r="BA58" s="169"/>
      <c r="BB58" s="169"/>
      <c r="BC58" s="168" t="str">
        <f>IF(_xlfn.IFNA(VLOOKUP(BC56,Armor[],5,FALSE) &amp; ": " &amp; VLOOKUP(BC56,Armor[],4,FALSE),"")=0,"",_xlfn.IFNA(VLOOKUP(BC56,Armor[],5,FALSE) &amp; ": " &amp; VLOOKUP(BC56,Armor[],4,FALSE),""))</f>
        <v>Heavy Armor: AC: 18 Str 15. Stealth: Disadvantage</v>
      </c>
      <c r="BD58" s="169"/>
      <c r="BE58" s="169"/>
      <c r="BF58" s="169"/>
      <c r="BG58" s="169"/>
      <c r="BH58" s="169"/>
      <c r="BI58" s="169"/>
      <c r="BJ58" s="169"/>
      <c r="BK58" s="169"/>
      <c r="BL58" s="168" t="str">
        <f>IF(_xlfn.IFNA(VLOOKUP(BL56,Armor[],5,FALSE) &amp; ": " &amp; VLOOKUP(BL56,Armor[],4,FALSE),"")=0,"",_xlfn.IFNA(VLOOKUP(BL56,Armor[],5,FALSE) &amp; ": " &amp; VLOOKUP(BL56,Armor[],4,FALSE),""))</f>
        <v>Light Armor: AC: 12+Dex Modifier</v>
      </c>
      <c r="BM58" s="169"/>
      <c r="BN58" s="169"/>
      <c r="BO58" s="169"/>
      <c r="BP58" s="169"/>
      <c r="BQ58" s="169"/>
      <c r="BR58" s="169"/>
      <c r="BS58" s="169"/>
      <c r="BT58" s="169"/>
      <c r="BU58" s="168" t="str">
        <f>IF(_xlfn.IFNA(VLOOKUP(BU56,Armor[],5,FALSE) &amp; ": " &amp; VLOOKUP(BU56,Armor[],4,FALSE),"")=0,"",_xlfn.IFNA(VLOOKUP(BU56,Armor[],5,FALSE) &amp; ": " &amp; VLOOKUP(BU56,Armor[],4,FALSE),""))</f>
        <v>Heavy Armor: AC: 17 Str 15. Stealth: Disadvantage</v>
      </c>
      <c r="BV58" s="169"/>
      <c r="BW58" s="169"/>
      <c r="BX58" s="169"/>
      <c r="BY58" s="169"/>
      <c r="BZ58" s="169"/>
      <c r="CA58" s="169"/>
      <c r="CB58" s="169"/>
      <c r="CC58" s="169"/>
      <c r="CD58" s="168" t="str">
        <f>IF(_xlfn.IFNA(VLOOKUP(CD56,Armor[],5,FALSE) &amp; ": " &amp; VLOOKUP(CD56,Armor[],4,FALSE),"")=0,"",_xlfn.IFNA(VLOOKUP(CD56,Armor[],5,FALSE) &amp; ": " &amp; VLOOKUP(CD56,Armor[],4,FALSE),""))</f>
        <v>Medium Armor: AC: 13+Dex Modifier (Max 2)</v>
      </c>
      <c r="CE58" s="169"/>
      <c r="CF58" s="169"/>
      <c r="CG58" s="169"/>
      <c r="CH58" s="169"/>
      <c r="CI58" s="169"/>
      <c r="CJ58" s="169"/>
      <c r="CK58" s="169"/>
      <c r="CL58" s="169"/>
      <c r="CM58" s="168" t="str">
        <f>IF(_xlfn.IFNA(VLOOKUP(CM56,Armor[],5,FALSE) &amp; ": " &amp; VLOOKUP(CM56,Armor[],4,FALSE),"")=0,"",_xlfn.IFNA(VLOOKUP(CM56,Armor[],5,FALSE) &amp; ": " &amp; VLOOKUP(CM56,Armor[],4,FALSE),""))</f>
        <v>Medium Armor: AC: 13+Dex Modifier (Max 2)</v>
      </c>
      <c r="CN58" s="169"/>
      <c r="CO58" s="169"/>
      <c r="CP58" s="169"/>
      <c r="CQ58" s="169"/>
      <c r="CR58" s="169"/>
      <c r="CS58" s="169"/>
      <c r="CT58" s="169"/>
      <c r="CU58" s="223"/>
      <c r="CV58" s="101"/>
    </row>
    <row r="59" spans="1:100" ht="12" customHeight="1" x14ac:dyDescent="0.25">
      <c r="A59" s="160"/>
      <c r="B59" s="160"/>
      <c r="C59" s="160"/>
      <c r="D59" s="160"/>
      <c r="E59" s="160"/>
      <c r="F59" s="160"/>
      <c r="G59" s="160"/>
      <c r="H59" s="160"/>
      <c r="I59" s="161"/>
      <c r="J59" s="170"/>
      <c r="K59" s="171"/>
      <c r="L59" s="171"/>
      <c r="M59" s="171"/>
      <c r="N59" s="171"/>
      <c r="O59" s="171"/>
      <c r="P59" s="171"/>
      <c r="Q59" s="171"/>
      <c r="R59" s="171"/>
      <c r="S59" s="170"/>
      <c r="T59" s="171"/>
      <c r="U59" s="171"/>
      <c r="V59" s="171"/>
      <c r="W59" s="171"/>
      <c r="X59" s="171"/>
      <c r="Y59" s="171"/>
      <c r="Z59" s="171"/>
      <c r="AA59" s="171"/>
      <c r="AB59" s="170"/>
      <c r="AC59" s="171"/>
      <c r="AD59" s="171"/>
      <c r="AE59" s="171"/>
      <c r="AF59" s="171"/>
      <c r="AG59" s="171"/>
      <c r="AH59" s="171"/>
      <c r="AI59" s="171"/>
      <c r="AJ59" s="171"/>
      <c r="AK59" s="170"/>
      <c r="AL59" s="171"/>
      <c r="AM59" s="171"/>
      <c r="AN59" s="171"/>
      <c r="AO59" s="171"/>
      <c r="AP59" s="171"/>
      <c r="AQ59" s="171"/>
      <c r="AR59" s="171"/>
      <c r="AS59" s="171"/>
      <c r="AT59" s="170"/>
      <c r="AU59" s="171"/>
      <c r="AV59" s="171"/>
      <c r="AW59" s="171"/>
      <c r="AX59" s="171"/>
      <c r="AY59" s="171"/>
      <c r="AZ59" s="171"/>
      <c r="BA59" s="171"/>
      <c r="BB59" s="171"/>
      <c r="BC59" s="170"/>
      <c r="BD59" s="171"/>
      <c r="BE59" s="171"/>
      <c r="BF59" s="171"/>
      <c r="BG59" s="171"/>
      <c r="BH59" s="171"/>
      <c r="BI59" s="171"/>
      <c r="BJ59" s="171"/>
      <c r="BK59" s="171"/>
      <c r="BL59" s="170"/>
      <c r="BM59" s="171"/>
      <c r="BN59" s="171"/>
      <c r="BO59" s="171"/>
      <c r="BP59" s="171"/>
      <c r="BQ59" s="171"/>
      <c r="BR59" s="171"/>
      <c r="BS59" s="171"/>
      <c r="BT59" s="171"/>
      <c r="BU59" s="170"/>
      <c r="BV59" s="171"/>
      <c r="BW59" s="171"/>
      <c r="BX59" s="171"/>
      <c r="BY59" s="171"/>
      <c r="BZ59" s="171"/>
      <c r="CA59" s="171"/>
      <c r="CB59" s="171"/>
      <c r="CC59" s="171"/>
      <c r="CD59" s="170"/>
      <c r="CE59" s="171"/>
      <c r="CF59" s="171"/>
      <c r="CG59" s="171"/>
      <c r="CH59" s="171"/>
      <c r="CI59" s="171"/>
      <c r="CJ59" s="171"/>
      <c r="CK59" s="171"/>
      <c r="CL59" s="171"/>
      <c r="CM59" s="170"/>
      <c r="CN59" s="171"/>
      <c r="CO59" s="171"/>
      <c r="CP59" s="171"/>
      <c r="CQ59" s="171"/>
      <c r="CR59" s="171"/>
      <c r="CS59" s="171"/>
      <c r="CT59" s="171"/>
      <c r="CU59" s="224"/>
      <c r="CV59" s="101"/>
    </row>
    <row r="60" spans="1:100" ht="12" customHeight="1" x14ac:dyDescent="0.25">
      <c r="A60" s="160"/>
      <c r="B60" s="160"/>
      <c r="C60" s="160"/>
      <c r="D60" s="160"/>
      <c r="E60" s="160"/>
      <c r="F60" s="160"/>
      <c r="G60" s="160"/>
      <c r="H60" s="160"/>
      <c r="I60" s="161"/>
      <c r="J60" s="172"/>
      <c r="K60" s="173"/>
      <c r="L60" s="173"/>
      <c r="M60" s="173"/>
      <c r="N60" s="173"/>
      <c r="O60" s="173"/>
      <c r="P60" s="173"/>
      <c r="Q60" s="173"/>
      <c r="R60" s="173"/>
      <c r="S60" s="172"/>
      <c r="T60" s="173"/>
      <c r="U60" s="173"/>
      <c r="V60" s="173"/>
      <c r="W60" s="173"/>
      <c r="X60" s="173"/>
      <c r="Y60" s="173"/>
      <c r="Z60" s="173"/>
      <c r="AA60" s="173"/>
      <c r="AB60" s="172"/>
      <c r="AC60" s="173"/>
      <c r="AD60" s="173"/>
      <c r="AE60" s="173"/>
      <c r="AF60" s="173"/>
      <c r="AG60" s="173"/>
      <c r="AH60" s="173"/>
      <c r="AI60" s="173"/>
      <c r="AJ60" s="173"/>
      <c r="AK60" s="172"/>
      <c r="AL60" s="173"/>
      <c r="AM60" s="173"/>
      <c r="AN60" s="173"/>
      <c r="AO60" s="173"/>
      <c r="AP60" s="173"/>
      <c r="AQ60" s="173"/>
      <c r="AR60" s="173"/>
      <c r="AS60" s="173"/>
      <c r="AT60" s="172"/>
      <c r="AU60" s="173"/>
      <c r="AV60" s="173"/>
      <c r="AW60" s="173"/>
      <c r="AX60" s="173"/>
      <c r="AY60" s="173"/>
      <c r="AZ60" s="173"/>
      <c r="BA60" s="173"/>
      <c r="BB60" s="173"/>
      <c r="BC60" s="172"/>
      <c r="BD60" s="173"/>
      <c r="BE60" s="173"/>
      <c r="BF60" s="173"/>
      <c r="BG60" s="173"/>
      <c r="BH60" s="173"/>
      <c r="BI60" s="173"/>
      <c r="BJ60" s="173"/>
      <c r="BK60" s="173"/>
      <c r="BL60" s="172"/>
      <c r="BM60" s="173"/>
      <c r="BN60" s="173"/>
      <c r="BO60" s="173"/>
      <c r="BP60" s="173"/>
      <c r="BQ60" s="173"/>
      <c r="BR60" s="173"/>
      <c r="BS60" s="173"/>
      <c r="BT60" s="173"/>
      <c r="BU60" s="172"/>
      <c r="BV60" s="173"/>
      <c r="BW60" s="173"/>
      <c r="BX60" s="173"/>
      <c r="BY60" s="173"/>
      <c r="BZ60" s="173"/>
      <c r="CA60" s="173"/>
      <c r="CB60" s="173"/>
      <c r="CC60" s="173"/>
      <c r="CD60" s="172"/>
      <c r="CE60" s="173"/>
      <c r="CF60" s="173"/>
      <c r="CG60" s="173"/>
      <c r="CH60" s="173"/>
      <c r="CI60" s="173"/>
      <c r="CJ60" s="173"/>
      <c r="CK60" s="173"/>
      <c r="CL60" s="173"/>
      <c r="CM60" s="172"/>
      <c r="CN60" s="173"/>
      <c r="CO60" s="173"/>
      <c r="CP60" s="173"/>
      <c r="CQ60" s="173"/>
      <c r="CR60" s="173"/>
      <c r="CS60" s="173"/>
      <c r="CT60" s="173"/>
      <c r="CU60" s="225"/>
      <c r="CV60" s="101"/>
    </row>
    <row r="61" spans="1:100" ht="12" customHeight="1" x14ac:dyDescent="0.25">
      <c r="A61" s="160" t="s">
        <v>1361</v>
      </c>
      <c r="B61" s="160"/>
      <c r="C61" s="160"/>
      <c r="D61" s="160"/>
      <c r="E61" s="160"/>
      <c r="F61" s="160"/>
      <c r="G61" s="160"/>
      <c r="H61" s="160"/>
      <c r="I61" s="161"/>
      <c r="J61" s="162"/>
      <c r="K61" s="163"/>
      <c r="L61" s="163"/>
      <c r="M61" s="163"/>
      <c r="N61" s="163"/>
      <c r="O61" s="163"/>
      <c r="P61" s="163"/>
      <c r="Q61" s="163"/>
      <c r="R61" s="163"/>
      <c r="S61" s="162"/>
      <c r="T61" s="163"/>
      <c r="U61" s="163"/>
      <c r="V61" s="163"/>
      <c r="W61" s="163"/>
      <c r="X61" s="163"/>
      <c r="Y61" s="163"/>
      <c r="Z61" s="163"/>
      <c r="AA61" s="163"/>
      <c r="AB61" s="162">
        <v>2</v>
      </c>
      <c r="AC61" s="163"/>
      <c r="AD61" s="163"/>
      <c r="AE61" s="163"/>
      <c r="AF61" s="163"/>
      <c r="AG61" s="163"/>
      <c r="AH61" s="163"/>
      <c r="AI61" s="163"/>
      <c r="AJ61" s="163"/>
      <c r="AK61" s="162"/>
      <c r="AL61" s="163"/>
      <c r="AM61" s="163"/>
      <c r="AN61" s="163"/>
      <c r="AO61" s="163"/>
      <c r="AP61" s="163"/>
      <c r="AQ61" s="163"/>
      <c r="AR61" s="163"/>
      <c r="AS61" s="163"/>
      <c r="AT61" s="162"/>
      <c r="AU61" s="163"/>
      <c r="AV61" s="163"/>
      <c r="AW61" s="163"/>
      <c r="AX61" s="163"/>
      <c r="AY61" s="163"/>
      <c r="AZ61" s="163"/>
      <c r="BA61" s="163"/>
      <c r="BB61" s="163"/>
      <c r="BC61" s="162"/>
      <c r="BD61" s="163"/>
      <c r="BE61" s="163"/>
      <c r="BF61" s="163"/>
      <c r="BG61" s="163"/>
      <c r="BH61" s="163"/>
      <c r="BI61" s="163"/>
      <c r="BJ61" s="163"/>
      <c r="BK61" s="163"/>
      <c r="BL61" s="162"/>
      <c r="BM61" s="163"/>
      <c r="BN61" s="163"/>
      <c r="BO61" s="163"/>
      <c r="BP61" s="163"/>
      <c r="BQ61" s="163"/>
      <c r="BR61" s="163"/>
      <c r="BS61" s="163"/>
      <c r="BT61" s="163"/>
      <c r="BU61" s="162"/>
      <c r="BV61" s="163"/>
      <c r="BW61" s="163"/>
      <c r="BX61" s="163"/>
      <c r="BY61" s="163"/>
      <c r="BZ61" s="163"/>
      <c r="CA61" s="163"/>
      <c r="CB61" s="163"/>
      <c r="CC61" s="163"/>
      <c r="CD61" s="162">
        <v>2</v>
      </c>
      <c r="CE61" s="163"/>
      <c r="CF61" s="163"/>
      <c r="CG61" s="163"/>
      <c r="CH61" s="163"/>
      <c r="CI61" s="163"/>
      <c r="CJ61" s="163"/>
      <c r="CK61" s="163"/>
      <c r="CL61" s="163"/>
      <c r="CM61" s="162"/>
      <c r="CN61" s="163"/>
      <c r="CO61" s="163"/>
      <c r="CP61" s="163"/>
      <c r="CQ61" s="163"/>
      <c r="CR61" s="163"/>
      <c r="CS61" s="163"/>
      <c r="CT61" s="163"/>
      <c r="CU61" s="206"/>
      <c r="CV61" s="101"/>
    </row>
    <row r="62" spans="1:100" ht="12" customHeight="1" thickBot="1" x14ac:dyDescent="0.3">
      <c r="A62" s="156" t="s">
        <v>2</v>
      </c>
      <c r="B62" s="156"/>
      <c r="C62" s="156"/>
      <c r="D62" s="156"/>
      <c r="E62" s="156"/>
      <c r="F62" s="156"/>
      <c r="G62" s="156"/>
      <c r="H62" s="156"/>
      <c r="I62" s="157"/>
      <c r="J62" s="164">
        <f>getac(J50,J58,J61,J55)</f>
        <v>11</v>
      </c>
      <c r="K62" s="165"/>
      <c r="L62" s="165"/>
      <c r="M62" s="165"/>
      <c r="N62" s="165"/>
      <c r="O62" s="165"/>
      <c r="P62" s="165"/>
      <c r="Q62" s="165"/>
      <c r="R62" s="165"/>
      <c r="S62" s="164">
        <f t="shared" ref="S62" si="6">getac(S50,S58,S61,S55)</f>
        <v>14</v>
      </c>
      <c r="T62" s="165"/>
      <c r="U62" s="165"/>
      <c r="V62" s="165"/>
      <c r="W62" s="165"/>
      <c r="X62" s="165"/>
      <c r="Y62" s="165"/>
      <c r="Z62" s="165"/>
      <c r="AA62" s="165"/>
      <c r="AB62" s="164">
        <f t="shared" ref="AB62" si="7">getac(AB50,AB58,AB61,AB55)</f>
        <v>13</v>
      </c>
      <c r="AC62" s="165"/>
      <c r="AD62" s="165"/>
      <c r="AE62" s="165"/>
      <c r="AF62" s="165"/>
      <c r="AG62" s="165"/>
      <c r="AH62" s="165"/>
      <c r="AI62" s="165"/>
      <c r="AJ62" s="165"/>
      <c r="AK62" s="164">
        <f t="shared" ref="AK62" si="8">getac(AK50,AK58,AK61,AK55)</f>
        <v>16</v>
      </c>
      <c r="AL62" s="165"/>
      <c r="AM62" s="165"/>
      <c r="AN62" s="165"/>
      <c r="AO62" s="165"/>
      <c r="AP62" s="165"/>
      <c r="AQ62" s="165"/>
      <c r="AR62" s="165"/>
      <c r="AS62" s="165"/>
      <c r="AT62" s="164">
        <f t="shared" ref="AT62" si="9">getac(AT50,AT58,AT61,AT55)</f>
        <v>14</v>
      </c>
      <c r="AU62" s="165"/>
      <c r="AV62" s="165"/>
      <c r="AW62" s="165"/>
      <c r="AX62" s="165"/>
      <c r="AY62" s="165"/>
      <c r="AZ62" s="165"/>
      <c r="BA62" s="165"/>
      <c r="BB62" s="165"/>
      <c r="BC62" s="164">
        <f>getac(BC50,BC58,BC61,BC55)</f>
        <v>18</v>
      </c>
      <c r="BD62" s="165"/>
      <c r="BE62" s="165"/>
      <c r="BF62" s="165"/>
      <c r="BG62" s="165"/>
      <c r="BH62" s="165"/>
      <c r="BI62" s="165"/>
      <c r="BJ62" s="165"/>
      <c r="BK62" s="165"/>
      <c r="BL62" s="164">
        <f>getac(BL50,BL58,BL61,BL55)</f>
        <v>14</v>
      </c>
      <c r="BM62" s="165"/>
      <c r="BN62" s="165"/>
      <c r="BO62" s="165"/>
      <c r="BP62" s="165"/>
      <c r="BQ62" s="165"/>
      <c r="BR62" s="165"/>
      <c r="BS62" s="165"/>
      <c r="BT62" s="165"/>
      <c r="BU62" s="164">
        <f t="shared" ref="BU62" si="10">getac(BU50,BU58,BU61,BU55)</f>
        <v>19</v>
      </c>
      <c r="BV62" s="165"/>
      <c r="BW62" s="165"/>
      <c r="BX62" s="165"/>
      <c r="BY62" s="165"/>
      <c r="BZ62" s="165"/>
      <c r="CA62" s="165"/>
      <c r="CB62" s="165"/>
      <c r="CC62" s="165"/>
      <c r="CD62" s="164">
        <f>getac(CD50,CD58,CD61,CD55)</f>
        <v>17</v>
      </c>
      <c r="CE62" s="165"/>
      <c r="CF62" s="165"/>
      <c r="CG62" s="165"/>
      <c r="CH62" s="165"/>
      <c r="CI62" s="165"/>
      <c r="CJ62" s="165"/>
      <c r="CK62" s="165"/>
      <c r="CL62" s="165"/>
      <c r="CM62" s="164">
        <f t="shared" ref="CM62" si="11">getac(CM50,CM58,CM61,CM55)</f>
        <v>14</v>
      </c>
      <c r="CN62" s="165"/>
      <c r="CO62" s="165"/>
      <c r="CP62" s="165"/>
      <c r="CQ62" s="165"/>
      <c r="CR62" s="165"/>
      <c r="CS62" s="165"/>
      <c r="CT62" s="165"/>
      <c r="CU62" s="222"/>
      <c r="CV62" s="101"/>
    </row>
    <row r="63" spans="1:100" ht="12" customHeight="1" thickBot="1" x14ac:dyDescent="0.3">
      <c r="A63" s="102"/>
      <c r="B63" s="102"/>
      <c r="C63" s="102"/>
      <c r="D63" s="102"/>
      <c r="E63" s="102"/>
      <c r="F63" s="102"/>
      <c r="G63" s="102"/>
      <c r="H63" s="102"/>
      <c r="I63" s="103"/>
    </row>
  </sheetData>
  <mergeCells count="320">
    <mergeCell ref="S4:AJ8"/>
    <mergeCell ref="F9:I10"/>
    <mergeCell ref="A9:C9"/>
    <mergeCell ref="S2:W2"/>
    <mergeCell ref="S1:W1"/>
    <mergeCell ref="S3:W3"/>
    <mergeCell ref="X2:AJ2"/>
    <mergeCell ref="X3:AJ3"/>
    <mergeCell ref="CM62:CU62"/>
    <mergeCell ref="CM56:CU57"/>
    <mergeCell ref="CD58:CL60"/>
    <mergeCell ref="CM58:CU60"/>
    <mergeCell ref="CD61:CL61"/>
    <mergeCell ref="CM61:CU61"/>
    <mergeCell ref="CM51:CU51"/>
    <mergeCell ref="CD52:CL54"/>
    <mergeCell ref="CM52:CU54"/>
    <mergeCell ref="CD55:CL55"/>
    <mergeCell ref="CM55:CU55"/>
    <mergeCell ref="CM48:CU48"/>
    <mergeCell ref="CD49:CL49"/>
    <mergeCell ref="CM49:CU49"/>
    <mergeCell ref="CD50:CL50"/>
    <mergeCell ref="CM50:CU50"/>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2:BB62"/>
    <mergeCell ref="BC62:BK62"/>
    <mergeCell ref="BL62:BT62"/>
    <mergeCell ref="BU62:CC62"/>
    <mergeCell ref="CD9:CL10"/>
    <mergeCell ref="CD15:CL15"/>
    <mergeCell ref="CD18:CL18"/>
    <mergeCell ref="CD21:CL22"/>
    <mergeCell ref="CD32:CL32"/>
    <mergeCell ref="CD36:CL44"/>
    <mergeCell ref="CD48:CL48"/>
    <mergeCell ref="CD51:CL51"/>
    <mergeCell ref="CD56:CL57"/>
    <mergeCell ref="CD62:CL62"/>
    <mergeCell ref="AT58:BB60"/>
    <mergeCell ref="BC58:BK60"/>
    <mergeCell ref="BL58:BT60"/>
    <mergeCell ref="BU58:CC60"/>
    <mergeCell ref="AT61:BB61"/>
    <mergeCell ref="BC61:BK61"/>
    <mergeCell ref="BL61:BT61"/>
    <mergeCell ref="BU61:CC61"/>
    <mergeCell ref="AT55:BB55"/>
    <mergeCell ref="BC55:BK55"/>
    <mergeCell ref="BL55:BT55"/>
    <mergeCell ref="BU55:CC55"/>
    <mergeCell ref="AT56:BB57"/>
    <mergeCell ref="BC56:BK57"/>
    <mergeCell ref="BL56:BT57"/>
    <mergeCell ref="BU56:CC57"/>
    <mergeCell ref="AT51:BB51"/>
    <mergeCell ref="BC51:BK51"/>
    <mergeCell ref="BL51:BT51"/>
    <mergeCell ref="BU51:CC51"/>
    <mergeCell ref="AT52:BB54"/>
    <mergeCell ref="BC52:BK54"/>
    <mergeCell ref="BL52:BT54"/>
    <mergeCell ref="BU52:CC54"/>
    <mergeCell ref="AT49:BB49"/>
    <mergeCell ref="BC49:BK49"/>
    <mergeCell ref="BL49:BT49"/>
    <mergeCell ref="BU49:CC49"/>
    <mergeCell ref="AT50:BB50"/>
    <mergeCell ref="BC50:BK50"/>
    <mergeCell ref="BL50:BT50"/>
    <mergeCell ref="BU50:CC50"/>
    <mergeCell ref="AT47:BB47"/>
    <mergeCell ref="BC47:BK47"/>
    <mergeCell ref="BL47:BT47"/>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3:BB33"/>
    <mergeCell ref="BC33:BK33"/>
    <mergeCell ref="BL33:BT33"/>
    <mergeCell ref="BU33:CC33"/>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21:BB22"/>
    <mergeCell ref="BC21:BK22"/>
    <mergeCell ref="BL21:BT22"/>
    <mergeCell ref="BU21:CC22"/>
    <mergeCell ref="AT23:BB29"/>
    <mergeCell ref="BC23:BK29"/>
    <mergeCell ref="BL23:BT29"/>
    <mergeCell ref="BU23:CC29"/>
    <mergeCell ref="AT19:BB19"/>
    <mergeCell ref="BC19:BK19"/>
    <mergeCell ref="BL19:BT19"/>
    <mergeCell ref="BU19:CC19"/>
    <mergeCell ref="AT20:BB20"/>
    <mergeCell ref="BC20:BK20"/>
    <mergeCell ref="BL20:BT20"/>
    <mergeCell ref="BU20:CC20"/>
    <mergeCell ref="AT17:BB17"/>
    <mergeCell ref="BC17:BK17"/>
    <mergeCell ref="BL17:BT17"/>
    <mergeCell ref="BU17:CC17"/>
    <mergeCell ref="AT18:BB18"/>
    <mergeCell ref="BC18:BK18"/>
    <mergeCell ref="BL18:BT18"/>
    <mergeCell ref="BU18:CC18"/>
    <mergeCell ref="BU15:CC15"/>
    <mergeCell ref="AT16:BB16"/>
    <mergeCell ref="BC16:BK16"/>
    <mergeCell ref="BL16:BT16"/>
    <mergeCell ref="BU16:CC16"/>
    <mergeCell ref="AK62:AS62"/>
    <mergeCell ref="AT9:BB10"/>
    <mergeCell ref="BC9:BK10"/>
    <mergeCell ref="BL9:BT10"/>
    <mergeCell ref="BU9:CC10"/>
    <mergeCell ref="AT11:BB12"/>
    <mergeCell ref="BC11:BK12"/>
    <mergeCell ref="BL11:BT12"/>
    <mergeCell ref="BU11:CC12"/>
    <mergeCell ref="AT13:BB14"/>
    <mergeCell ref="BC13:BK14"/>
    <mergeCell ref="BL13:BT14"/>
    <mergeCell ref="BU13:CC14"/>
    <mergeCell ref="AT15:BB15"/>
    <mergeCell ref="BC15:BK15"/>
    <mergeCell ref="BL15:BT15"/>
    <mergeCell ref="AK56:AS57"/>
    <mergeCell ref="AK48:AS48"/>
    <mergeCell ref="AK32:AS32"/>
    <mergeCell ref="AB58:AJ60"/>
    <mergeCell ref="AK58:AS60"/>
    <mergeCell ref="AB61:AJ61"/>
    <mergeCell ref="AK61:AS61"/>
    <mergeCell ref="AK51:AS51"/>
    <mergeCell ref="AB52:AJ54"/>
    <mergeCell ref="AK52:AS54"/>
    <mergeCell ref="AB55:AJ55"/>
    <mergeCell ref="AK55:AS55"/>
    <mergeCell ref="AK23:AS29"/>
    <mergeCell ref="AB30:AJ31"/>
    <mergeCell ref="AK30:AS31"/>
    <mergeCell ref="AB49:AJ49"/>
    <mergeCell ref="AK49:AS49"/>
    <mergeCell ref="AB50:AJ50"/>
    <mergeCell ref="AK50:AS50"/>
    <mergeCell ref="AK36:AS44"/>
    <mergeCell ref="AB45:AJ46"/>
    <mergeCell ref="AK45:AS46"/>
    <mergeCell ref="AB47:AJ47"/>
    <mergeCell ref="AK47:AS47"/>
    <mergeCell ref="S58:AA60"/>
    <mergeCell ref="S61:AA61"/>
    <mergeCell ref="S62:AA62"/>
    <mergeCell ref="AB9:AJ10"/>
    <mergeCell ref="AB15:AJ15"/>
    <mergeCell ref="AB18:AJ18"/>
    <mergeCell ref="AB21:AJ22"/>
    <mergeCell ref="AB32:AJ32"/>
    <mergeCell ref="AB36:AJ44"/>
    <mergeCell ref="AB48:AJ48"/>
    <mergeCell ref="AB51:AJ51"/>
    <mergeCell ref="AB56:AJ57"/>
    <mergeCell ref="AB62:AJ62"/>
    <mergeCell ref="S50:AA50"/>
    <mergeCell ref="S51:AA51"/>
    <mergeCell ref="S52:AA54"/>
    <mergeCell ref="S55:AA55"/>
    <mergeCell ref="S56:AA57"/>
    <mergeCell ref="S36:AA44"/>
    <mergeCell ref="AB19:AJ19"/>
    <mergeCell ref="AB20:AJ20"/>
    <mergeCell ref="AB16:AJ16"/>
    <mergeCell ref="AB17:AJ17"/>
    <mergeCell ref="AB33:AJ33"/>
    <mergeCell ref="S47:AA47"/>
    <mergeCell ref="S48:AA48"/>
    <mergeCell ref="S49:AA49"/>
    <mergeCell ref="S23:AA29"/>
    <mergeCell ref="S30:AA31"/>
    <mergeCell ref="S32:AA32"/>
    <mergeCell ref="S33:AA33"/>
    <mergeCell ref="S34:AA35"/>
    <mergeCell ref="AK9:AS10"/>
    <mergeCell ref="AB11:AJ12"/>
    <mergeCell ref="AK11:AS12"/>
    <mergeCell ref="AB13:AJ14"/>
    <mergeCell ref="AK13:AS14"/>
    <mergeCell ref="AK18:AS18"/>
    <mergeCell ref="AK19:AS19"/>
    <mergeCell ref="AK20:AS20"/>
    <mergeCell ref="AK15:AS15"/>
    <mergeCell ref="AK16:AS16"/>
    <mergeCell ref="AK17:AS17"/>
    <mergeCell ref="AK33:AS33"/>
    <mergeCell ref="AB34:AJ35"/>
    <mergeCell ref="AK34:AS35"/>
    <mergeCell ref="AK21:AS22"/>
    <mergeCell ref="AB23:AJ29"/>
    <mergeCell ref="A1:F8"/>
    <mergeCell ref="S9:AA10"/>
    <mergeCell ref="S11:AA12"/>
    <mergeCell ref="S13:AA14"/>
    <mergeCell ref="X1:AJ1"/>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A16:I16"/>
    <mergeCell ref="A17:I17"/>
    <mergeCell ref="A18:I18"/>
    <mergeCell ref="J15:R15"/>
    <mergeCell ref="J16:R16"/>
    <mergeCell ref="J17:R17"/>
    <mergeCell ref="J18:R18"/>
    <mergeCell ref="J20:R20"/>
    <mergeCell ref="B25:I25"/>
    <mergeCell ref="B26:I26"/>
    <mergeCell ref="A29:I29"/>
    <mergeCell ref="J45:R46"/>
    <mergeCell ref="J9:R10"/>
    <mergeCell ref="J11:R12"/>
    <mergeCell ref="J13:R14"/>
    <mergeCell ref="S15:AA15"/>
    <mergeCell ref="S16:AA16"/>
    <mergeCell ref="S17:AA17"/>
    <mergeCell ref="S18:AA18"/>
    <mergeCell ref="S19:AA19"/>
    <mergeCell ref="S20:AA20"/>
    <mergeCell ref="S21:AA22"/>
    <mergeCell ref="S45:AA46"/>
    <mergeCell ref="A47:I47"/>
    <mergeCell ref="A48:I48"/>
    <mergeCell ref="A49:I49"/>
    <mergeCell ref="J47:R47"/>
    <mergeCell ref="A61:I61"/>
    <mergeCell ref="J61:R61"/>
    <mergeCell ref="A62:I62"/>
    <mergeCell ref="J62:R62"/>
    <mergeCell ref="J51:R51"/>
    <mergeCell ref="A55:I55"/>
    <mergeCell ref="J55:R55"/>
    <mergeCell ref="A51:I51"/>
    <mergeCell ref="A52:I54"/>
    <mergeCell ref="A50:I50"/>
    <mergeCell ref="J50:R50"/>
    <mergeCell ref="A56:I57"/>
    <mergeCell ref="J56:R57"/>
    <mergeCell ref="A58:I60"/>
    <mergeCell ref="J58:R60"/>
    <mergeCell ref="J52:R54"/>
    <mergeCell ref="J48:R48"/>
    <mergeCell ref="J49:R49"/>
  </mergeCells>
  <conditionalFormatting sqref="J20:R20">
    <cfRule type="colorScale" priority="71">
      <colorScale>
        <cfvo type="num" val="0"/>
        <cfvo type="num" val="$J$19/2"/>
        <cfvo type="num" val="$J$19"/>
        <color rgb="FFF8696B"/>
        <color rgb="FFFFEB84"/>
        <color rgb="FF47CFFF"/>
      </colorScale>
    </cfRule>
  </conditionalFormatting>
  <conditionalFormatting sqref="S20:AA20">
    <cfRule type="colorScale" priority="70">
      <colorScale>
        <cfvo type="num" val="0"/>
        <cfvo type="num" val="$S$19/2"/>
        <cfvo type="num" val="$S$19"/>
        <color rgb="FFF8696B"/>
        <color rgb="FFFFEB84"/>
        <color rgb="FF47CFFF"/>
      </colorScale>
    </cfRule>
  </conditionalFormatting>
  <conditionalFormatting sqref="AB20">
    <cfRule type="colorScale" priority="69">
      <colorScale>
        <cfvo type="num" val="0"/>
        <cfvo type="num" val="$AB$19/2"/>
        <cfvo type="num" val="$AB$19"/>
        <color rgb="FFF8696B"/>
        <color rgb="FFFFEB84"/>
        <color rgb="FF47CFFF"/>
      </colorScale>
    </cfRule>
  </conditionalFormatting>
  <conditionalFormatting sqref="AK20">
    <cfRule type="colorScale" priority="68">
      <colorScale>
        <cfvo type="num" val="0"/>
        <cfvo type="num" val="$AK$19/2"/>
        <cfvo type="num" val="$AK$19"/>
        <color rgb="FFF8696B"/>
        <color rgb="FFFFEB84"/>
        <color rgb="FF47CFFF"/>
      </colorScale>
    </cfRule>
  </conditionalFormatting>
  <conditionalFormatting sqref="AT20">
    <cfRule type="colorScale" priority="67">
      <colorScale>
        <cfvo type="num" val="0"/>
        <cfvo type="num" val="$AT$19/2"/>
        <cfvo type="num" val="$AT$19"/>
        <color rgb="FFF8696B"/>
        <color rgb="FFFFEB84"/>
        <color rgb="FF47CFFF"/>
      </colorScale>
    </cfRule>
  </conditionalFormatting>
  <conditionalFormatting sqref="BC20">
    <cfRule type="colorScale" priority="66">
      <colorScale>
        <cfvo type="num" val="0"/>
        <cfvo type="num" val="$BC$19/2"/>
        <cfvo type="num" val="$BC$19"/>
        <color rgb="FFF8696B"/>
        <color rgb="FFFFEB84"/>
        <color rgb="FF47CFFF"/>
      </colorScale>
    </cfRule>
  </conditionalFormatting>
  <conditionalFormatting sqref="BL20">
    <cfRule type="colorScale" priority="65">
      <colorScale>
        <cfvo type="num" val="0"/>
        <cfvo type="num" val="$BL$19/2"/>
        <cfvo type="num" val="$BL$19"/>
        <color rgb="FFF8696B"/>
        <color rgb="FFFFEB84"/>
        <color rgb="FF47CFFF"/>
      </colorScale>
    </cfRule>
  </conditionalFormatting>
  <conditionalFormatting sqref="BU20">
    <cfRule type="colorScale" priority="64">
      <colorScale>
        <cfvo type="num" val="0"/>
        <cfvo type="num" val="$BU$19/2"/>
        <cfvo type="num" val="$BU$19"/>
        <color rgb="FFF8696B"/>
        <color rgb="FFFFEB84"/>
        <color rgb="FF47CFFF"/>
      </colorScale>
    </cfRule>
  </conditionalFormatting>
  <conditionalFormatting sqref="CD20">
    <cfRule type="colorScale" priority="63">
      <colorScale>
        <cfvo type="num" val="0"/>
        <cfvo type="num" val="$CD$19/2"/>
        <cfvo type="num" val="$CD$19"/>
        <color rgb="FFF8696B"/>
        <color rgb="FFFFEB84"/>
        <color rgb="FF47CFFF"/>
      </colorScale>
    </cfRule>
  </conditionalFormatting>
  <conditionalFormatting sqref="J15:CU15">
    <cfRule type="colorScale" priority="17">
      <colorScale>
        <cfvo type="num" val="1"/>
        <cfvo type="num" val="10"/>
        <cfvo type="num" val="20"/>
        <color theme="9" tint="-0.249977111117893"/>
        <color theme="9" tint="0.79998168889431442"/>
        <color rgb="FFFFEF9C"/>
      </colorScale>
    </cfRule>
  </conditionalFormatting>
  <conditionalFormatting sqref="CM20:CU20">
    <cfRule type="colorScale" priority="16">
      <colorScale>
        <cfvo type="num" val="0"/>
        <cfvo type="num" val="$CM$19/2"/>
        <cfvo type="num" val="$CM$19"/>
        <color rgb="FFF8696B"/>
        <color rgb="FFFFEB84"/>
        <color rgb="FF47CFFF"/>
      </colorScale>
    </cfRule>
  </conditionalFormatting>
  <conditionalFormatting sqref="J20:CU20">
    <cfRule type="cellIs" dxfId="127" priority="15" stopIfTrue="1" operator="equal">
      <formula>0</formula>
    </cfRule>
  </conditionalFormatting>
  <dataValidations xWindow="407" yWindow="313" count="8">
    <dataValidation type="list" allowBlank="1" showInputMessage="1" showErrorMessage="1" sqref="J21:CU22" xr:uid="{A4D5180E-E080-4357-8F62-7D4768CFBE36}">
      <formula1>INDIRECT("Race[Race]")</formula1>
    </dataValidation>
    <dataValidation type="list" allowBlank="1" showInputMessage="1" showErrorMessage="1" sqref="J30:CU31" xr:uid="{6D3606CD-C58C-4649-B4B1-4B3CFBB7DD9F}">
      <formula1>INDIRECT("Class[Class]")</formula1>
    </dataValidation>
    <dataValidation type="list" allowBlank="1" showInputMessage="1" showErrorMessage="1" sqref="J34:CU35" xr:uid="{0D52D841-E015-4FE2-9837-19E723A2D8E2}">
      <formula1>INDIRECT("Conditions[Condition]")</formula1>
    </dataValidation>
    <dataValidation type="list" allowBlank="1" showInputMessage="1" showErrorMessage="1" sqref="J55:CU55 J45:CU46 J13:CU14" xr:uid="{E6ADE821-0E08-4FB8-97E6-725FAC3096AF}">
      <formula1>INDIRECT("YesNo")</formula1>
    </dataValidation>
    <dataValidation type="list" allowBlank="1" showInputMessage="1" showErrorMessage="1" sqref="J56:CU57" xr:uid="{4748EE20-216B-401D-A447-AC47896DD0DC}">
      <formula1>INDIRECT("Armor[Name]")</formula1>
    </dataValidation>
    <dataValidation type="list" showInputMessage="1" showErrorMessage="1" errorTitle="Error" error="Please select a value from the drop down." promptTitle="Effect" prompt="A heavily obscured area—such as darkness, opaque fog, or dense foliage—blocks vision entirely. A creature in a heavily obscured area effectively suffers from the blinded condition (see appendix A). The presence or absence of light in an environment cr..." sqref="X1:AJ1" xr:uid="{71C98E66-7351-4652-B903-1FD76618AEF5}">
      <formula1>INDIRECT("Vision[Vision]")</formula1>
    </dataValidation>
    <dataValidation type="list" showInputMessage="1" showErrorMessage="1" errorTitle="Effect" error="Please select a value from the drop down." promptTitle="Effect" prompt="Some cemeteries and catacombs are imbued with the unseen traces of ancient evil. An area of desecrated_x000a_ground can be any size, and a detect evil and good spell cast within range reveals its presence. Undead standing on desecrated ground have advantage..." sqref="X3:AJ3" xr:uid="{8E8C5816-BA6F-49E3-8F47-CB3FA2500D07}">
      <formula1>INDIRECT("Hazards[Hazard]")</formula1>
    </dataValidation>
    <dataValidation type="list" allowBlank="1" showInputMessage="1" showErrorMessage="1" errorTitle="Error" error="Please select a value from the drop down." prompt="Whenever the temperature is at or below 0 degrees Fahrenheit, a creature exposed to the cold must succeed on a DC 10 Constitution saving throw at the end of each hour or gain one level of exhaustion. Creatures with resistance or immunity to cold damag..." sqref="X2:AJ2" xr:uid="{00592BE0-DF94-4305-9D38-20BA9F886963}">
      <formula1>INDIRECT("Environments[Environment]")</formula1>
    </dataValidation>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61</xdr:row>
                    <xdr:rowOff>123825</xdr:rowOff>
                  </from>
                  <to>
                    <xdr:col>3</xdr:col>
                    <xdr:colOff>57150</xdr:colOff>
                    <xdr:row>63</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61</xdr:row>
                    <xdr:rowOff>123825</xdr:rowOff>
                  </from>
                  <to>
                    <xdr:col>7</xdr:col>
                    <xdr:colOff>19050</xdr:colOff>
                    <xdr:row>63</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0</xdr:col>
                    <xdr:colOff>0</xdr:colOff>
                    <xdr:row>9</xdr:row>
                    <xdr:rowOff>9525</xdr:rowOff>
                  </from>
                  <to>
                    <xdr:col>3</xdr:col>
                    <xdr:colOff>0</xdr:colOff>
                    <xdr:row>9</xdr:row>
                    <xdr:rowOff>142875</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0</xdr:col>
                    <xdr:colOff>0</xdr:colOff>
                    <xdr:row>33</xdr:row>
                    <xdr:rowOff>95250</xdr:rowOff>
                  </from>
                  <to>
                    <xdr:col>3</xdr:col>
                    <xdr:colOff>28575</xdr:colOff>
                    <xdr:row>34</xdr:row>
                    <xdr:rowOff>85725</xdr:rowOff>
                  </to>
                </anchor>
              </controlPr>
            </control>
          </mc:Choice>
        </mc:AlternateContent>
        <mc:AlternateContent xmlns:mc="http://schemas.openxmlformats.org/markup-compatibility/2006">
          <mc:Choice Requires="x14">
            <control shapeId="4126" r:id="rId8" name="Button 30">
              <controlPr defaultSize="0" print="0" autoFill="0" autoPict="0" macro="[0]!LongRest">
                <anchor moveWithCells="1" sizeWithCells="1">
                  <from>
                    <xdr:col>0</xdr:col>
                    <xdr:colOff>0</xdr:colOff>
                    <xdr:row>18</xdr:row>
                    <xdr:rowOff>9525</xdr:rowOff>
                  </from>
                  <to>
                    <xdr:col>2</xdr:col>
                    <xdr:colOff>114300</xdr:colOff>
                    <xdr:row>19</xdr:row>
                    <xdr:rowOff>152400</xdr:rowOff>
                  </to>
                </anchor>
              </controlPr>
            </control>
          </mc:Choice>
        </mc:AlternateContent>
        <mc:AlternateContent xmlns:mc="http://schemas.openxmlformats.org/markup-compatibility/2006">
          <mc:Choice Requires="x14">
            <control shapeId="4130" r:id="rId9" name="Button 34">
              <controlPr defaultSize="0" print="0" autoFill="0" autoPict="0" macro="[0]!ClearPlayerSheet">
                <anchor moveWithCells="1" sizeWithCells="1">
                  <from>
                    <xdr:col>6</xdr:col>
                    <xdr:colOff>142875</xdr:colOff>
                    <xdr:row>62</xdr:row>
                    <xdr:rowOff>19050</xdr:rowOff>
                  </from>
                  <to>
                    <xdr:col>8</xdr:col>
                    <xdr:colOff>142875</xdr:colOff>
                    <xdr:row>62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equal" id="{AC9AB0F2-7CBF-4B0F-9DCB-0CFBB5F1C396}">
            <xm:f>'Character Lists'!$R$16</xm:f>
            <x14:dxf>
              <font>
                <color rgb="FF7030A0"/>
              </font>
              <fill>
                <patternFill patternType="lightTrellis">
                  <fgColor rgb="FFCDACE6"/>
                  <bgColor rgb="FFA66BD3"/>
                </patternFill>
              </fill>
            </x14:dxf>
          </x14:cfRule>
          <x14:cfRule type="cellIs" priority="47"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8" operator="equal" id="{EC2E2B3B-5942-4FCD-93C1-C76DB981494D}">
            <xm:f>'Character Lists'!$R$14</xm:f>
            <x14:dxf>
              <font>
                <color rgb="FF00B0F0"/>
              </font>
              <fill>
                <patternFill patternType="gray0625">
                  <fgColor rgb="FFBDD6D9"/>
                  <bgColor rgb="FFE7F0F1"/>
                </patternFill>
              </fill>
            </x14:dxf>
          </x14:cfRule>
          <x14:cfRule type="cellIs" priority="49" operator="equal" id="{3A150409-38AB-4C98-8CC8-6B0261FA8730}">
            <xm:f>'Character Lists'!$R$13</xm:f>
            <x14:dxf>
              <font>
                <color theme="0" tint="-0.24994659260841701"/>
              </font>
              <fill>
                <patternFill>
                  <bgColor rgb="FF7030A0"/>
                </patternFill>
              </fill>
            </x14:dxf>
          </x14:cfRule>
          <x14:cfRule type="cellIs" priority="50" operator="equal" id="{15C6AF92-1587-4773-BCDF-EA1312F6887E}">
            <xm:f>'Character Lists'!$R$12</xm:f>
            <x14:dxf>
              <font>
                <color theme="0"/>
              </font>
              <fill>
                <patternFill>
                  <bgColor rgb="FFDEC8EE"/>
                </patternFill>
              </fill>
            </x14:dxf>
          </x14:cfRule>
          <x14:cfRule type="cellIs" priority="51" operator="equal" id="{DF32552B-44C9-45B8-A96D-9EE986FBA7D1}">
            <xm:f>'Character Lists'!$R$11</xm:f>
            <x14:dxf>
              <font>
                <color theme="0" tint="-0.34998626667073579"/>
              </font>
              <fill>
                <patternFill>
                  <bgColor theme="1" tint="0.24994659260841701"/>
                </patternFill>
              </fill>
            </x14:dxf>
          </x14:cfRule>
          <x14:cfRule type="cellIs" priority="52" operator="equal" id="{9DE8FE2A-3661-4FA4-8FE0-FC0B1A27A345}">
            <xm:f>'Character Lists'!$R$10</xm:f>
            <x14:dxf>
              <font>
                <color theme="1"/>
              </font>
              <fill>
                <patternFill>
                  <bgColor theme="9" tint="0.59996337778862885"/>
                </patternFill>
              </fill>
            </x14:dxf>
          </x14:cfRule>
          <x14:cfRule type="cellIs" priority="53" operator="equal" id="{F08D0F17-2FC4-4C7A-A30C-3623B18D9D53}">
            <xm:f>'Character Lists'!$R$9</xm:f>
            <x14:dxf>
              <font>
                <color theme="1" tint="0.34998626667073579"/>
              </font>
              <fill>
                <patternFill>
                  <bgColor theme="7" tint="0.39994506668294322"/>
                </patternFill>
              </fill>
            </x14:dxf>
          </x14:cfRule>
          <x14:cfRule type="cellIs" priority="54" operator="equal" id="{671AB086-0583-41D7-957B-92B1F149E8F0}">
            <xm:f>'Character Lists'!$R$5</xm:f>
            <x14:dxf>
              <font>
                <color rgb="FF5A362F"/>
              </font>
              <fill>
                <patternFill>
                  <bgColor theme="7" tint="0.39994506668294322"/>
                </patternFill>
              </fill>
            </x14:dxf>
          </x14:cfRule>
          <x14:cfRule type="cellIs" priority="55" operator="equal" id="{FBAB789F-339B-4901-9E09-970DB744EA89}">
            <xm:f>'Character Lists'!$R$8</xm:f>
            <x14:dxf>
              <font>
                <color theme="1" tint="0.14996795556505021"/>
              </font>
              <fill>
                <patternFill>
                  <bgColor theme="0" tint="-0.14996795556505021"/>
                </patternFill>
              </fill>
            </x14:dxf>
          </x14:cfRule>
          <x14:cfRule type="cellIs" priority="56" operator="equal" id="{12D01D85-D8F8-45CB-B7F6-6C29EFFF5BB5}">
            <xm:f>'Character Lists'!$R$7</xm:f>
            <x14:dxf>
              <fill>
                <patternFill>
                  <bgColor rgb="FFFF6161"/>
                </patternFill>
              </fill>
            </x14:dxf>
          </x14:cfRule>
          <x14:cfRule type="cellIs" priority="57" operator="equal" id="{41AEEABC-7CE9-44C2-98EE-919942E5581C}">
            <xm:f>'Character Lists'!$R$6</xm:f>
            <x14:dxf>
              <font>
                <color theme="0"/>
              </font>
              <fill>
                <patternFill>
                  <bgColor rgb="FF00B050"/>
                </patternFill>
              </fill>
            </x14:dxf>
          </x14:cfRule>
          <x14:cfRule type="cellIs" priority="58" operator="equal" id="{F5598DCC-3CD4-4706-932E-4DFB744186B7}">
            <xm:f>'Character Lists'!$R$4</xm:f>
            <x14:dxf>
              <font>
                <color rgb="FF5A362F"/>
              </font>
              <fill>
                <patternFill>
                  <bgColor theme="7" tint="0.59996337778862885"/>
                </patternFill>
              </fill>
            </x14:dxf>
          </x14:cfRule>
          <x14:cfRule type="cellIs" priority="59"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1" operator="equal" id="{D4E205E1-89D8-438A-BCEC-A6CCF9E123BB}">
            <xm:f>'Character Lists'!$R$16</xm:f>
            <x14:dxf>
              <font>
                <color rgb="FF7030A0"/>
              </font>
              <fill>
                <patternFill patternType="lightTrellis">
                  <fgColor rgb="FFCDACE6"/>
                  <bgColor rgb="FFA66BD3"/>
                </patternFill>
              </fill>
            </x14:dxf>
          </x14:cfRule>
          <x14:cfRule type="cellIs" priority="2"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3" operator="equal" id="{675392D7-E32F-4ED0-A0FD-4EEBE0420BE5}">
            <xm:f>'Character Lists'!$R$14</xm:f>
            <x14:dxf>
              <font>
                <color rgb="FF00B0F0"/>
              </font>
              <fill>
                <patternFill patternType="gray0625">
                  <fgColor rgb="FFBDD6D9"/>
                  <bgColor rgb="FFE7F0F1"/>
                </patternFill>
              </fill>
            </x14:dxf>
          </x14:cfRule>
          <x14:cfRule type="cellIs" priority="4" operator="equal" id="{98D75FBB-8EBE-4274-B599-628A74E3D184}">
            <xm:f>'Character Lists'!$R$13</xm:f>
            <x14:dxf>
              <font>
                <color theme="0" tint="-0.24994659260841701"/>
              </font>
              <fill>
                <patternFill>
                  <bgColor rgb="FF7030A0"/>
                </patternFill>
              </fill>
            </x14:dxf>
          </x14:cfRule>
          <x14:cfRule type="cellIs" priority="5" operator="equal" id="{2C60B347-3272-40EF-A511-C0A032A3BF67}">
            <xm:f>'Character Lists'!$R$12</xm:f>
            <x14:dxf>
              <font>
                <color theme="0"/>
              </font>
              <fill>
                <patternFill>
                  <bgColor rgb="FFDEC8EE"/>
                </patternFill>
              </fill>
            </x14:dxf>
          </x14:cfRule>
          <x14:cfRule type="cellIs" priority="6" operator="equal" id="{BC40106C-EB04-41E7-BE83-2F1D8C782951}">
            <xm:f>'Character Lists'!$R$11</xm:f>
            <x14:dxf>
              <font>
                <color theme="0" tint="-0.34998626667073579"/>
              </font>
              <fill>
                <patternFill>
                  <bgColor theme="1" tint="0.24994659260841701"/>
                </patternFill>
              </fill>
            </x14:dxf>
          </x14:cfRule>
          <x14:cfRule type="cellIs" priority="7" operator="equal" id="{AB89DC69-9877-4D56-BBE0-0A95533A97E8}">
            <xm:f>'Character Lists'!$R$10</xm:f>
            <x14:dxf>
              <font>
                <color theme="1"/>
              </font>
              <fill>
                <patternFill>
                  <bgColor theme="9" tint="0.59996337778862885"/>
                </patternFill>
              </fill>
            </x14:dxf>
          </x14:cfRule>
          <x14:cfRule type="cellIs" priority="8" operator="equal" id="{D1588F2D-9FE0-4508-827B-7BA0A19F283C}">
            <xm:f>'Character Lists'!$R$9</xm:f>
            <x14:dxf>
              <font>
                <color theme="1" tint="0.34998626667073579"/>
              </font>
              <fill>
                <patternFill>
                  <bgColor theme="7" tint="0.39994506668294322"/>
                </patternFill>
              </fill>
            </x14:dxf>
          </x14:cfRule>
          <x14:cfRule type="cellIs" priority="9" operator="equal" id="{4502A13C-CE5F-4FC6-815A-F202893FBC79}">
            <xm:f>'Character Lists'!$R$5</xm:f>
            <x14:dxf>
              <font>
                <color rgb="FF5A362F"/>
              </font>
              <fill>
                <patternFill>
                  <bgColor theme="7" tint="0.39994506668294322"/>
                </patternFill>
              </fill>
            </x14:dxf>
          </x14:cfRule>
          <x14:cfRule type="cellIs" priority="10" operator="equal" id="{15BDDF7B-9278-411A-ACD6-73EDC4CB3661}">
            <xm:f>'Character Lists'!$R$8</xm:f>
            <x14:dxf>
              <font>
                <color theme="1" tint="0.14996795556505021"/>
              </font>
              <fill>
                <patternFill>
                  <bgColor theme="0" tint="-0.14996795556505021"/>
                </patternFill>
              </fill>
            </x14:dxf>
          </x14:cfRule>
          <x14:cfRule type="cellIs" priority="11" operator="equal" id="{C447CFC2-8F73-4DEE-87CC-2C388FA0D0DA}">
            <xm:f>'Character Lists'!$R$7</xm:f>
            <x14:dxf>
              <fill>
                <patternFill>
                  <bgColor rgb="FFFF6161"/>
                </patternFill>
              </fill>
            </x14:dxf>
          </x14:cfRule>
          <x14:cfRule type="cellIs" priority="12" operator="equal" id="{DDFAAF03-DE45-4E0E-A128-BA8EF82CE398}">
            <xm:f>'Character Lists'!$R$6</xm:f>
            <x14:dxf>
              <font>
                <color theme="0"/>
              </font>
              <fill>
                <patternFill>
                  <bgColor rgb="FF00B050"/>
                </patternFill>
              </fill>
            </x14:dxf>
          </x14:cfRule>
          <x14:cfRule type="cellIs" priority="13" operator="equal" id="{7FBA1D24-1C2D-4584-8854-A55DDB85BF93}">
            <xm:f>'Character Lists'!$R$4</xm:f>
            <x14:dxf>
              <font>
                <color rgb="FF5A362F"/>
              </font>
              <fill>
                <patternFill>
                  <bgColor theme="7" tint="0.59996337778862885"/>
                </patternFill>
              </fill>
            </x14:dxf>
          </x14:cfRule>
          <x14:cfRule type="cellIs" priority="14"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407" yWindow="313" count="2">
        <x14:dataValidation type="list" allowBlank="1" showInputMessage="1" xr:uid="{30428FB5-4AEB-45B8-AD91-C148E7C313DE}">
          <x14:formula1>
            <xm:f>'Aux Lists'!$L$5:$L$22</xm:f>
          </x14:formula1>
          <xm:sqref>J50:CU51</xm:sqref>
        </x14:dataValidation>
        <x14:dataValidation type="list" allowBlank="1" xr:uid="{D1D8CF4F-4CE5-4DB2-A1D2-BDE47462B8F5}">
          <x14:formula1>
            <xm:f>'Aux Lists'!$L$5:$L$22</xm:f>
          </x14:formula1>
          <xm:sqref>J47:CU49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28"/>
  <sheetViews>
    <sheetView showRowColHeaders="0" zoomScale="120" zoomScaleNormal="120" workbookViewId="0">
      <selection activeCell="F2" sqref="F2"/>
    </sheetView>
  </sheetViews>
  <sheetFormatPr defaultColWidth="2.85546875" defaultRowHeight="15" x14ac:dyDescent="0.25"/>
  <cols>
    <col min="1" max="1" width="21.85546875" style="135" customWidth="1"/>
    <col min="2" max="2" width="2.140625" style="44" bestFit="1" customWidth="1"/>
    <col min="3" max="3" width="7.7109375" style="33" bestFit="1" customWidth="1"/>
    <col min="4" max="4" width="3.42578125" style="33" bestFit="1" customWidth="1"/>
    <col min="5" max="5" width="18.28515625" style="33" customWidth="1"/>
    <col min="6" max="6" width="11.140625" style="34" bestFit="1" customWidth="1"/>
    <col min="7" max="7" width="3.42578125" style="34" bestFit="1" customWidth="1"/>
    <col min="8" max="8" width="5.7109375" style="42" bestFit="1" customWidth="1"/>
    <col min="9" max="9" width="4.28515625" style="34" bestFit="1" customWidth="1"/>
    <col min="10" max="10" width="8.5703125" style="35" bestFit="1" customWidth="1"/>
    <col min="11" max="11" width="2.85546875" style="123"/>
    <col min="12" max="16384" width="2.85546875" style="124"/>
  </cols>
  <sheetData>
    <row r="1" spans="1:33" x14ac:dyDescent="0.25">
      <c r="A1" s="122" t="s">
        <v>1422</v>
      </c>
      <c r="B1" s="227">
        <f>SUM(I:I)</f>
        <v>180</v>
      </c>
      <c r="C1" s="228"/>
      <c r="D1" s="96"/>
      <c r="E1" s="96"/>
      <c r="F1" s="96"/>
      <c r="G1" s="96"/>
      <c r="H1" s="97"/>
      <c r="I1" s="96"/>
      <c r="J1" s="96"/>
    </row>
    <row r="2" spans="1:33" ht="15.75" thickBot="1" x14ac:dyDescent="0.3">
      <c r="A2" s="125" t="s">
        <v>1421</v>
      </c>
      <c r="B2" s="229" t="str">
        <f ca="1">_xlfn.IFNA(INDEX('Encounter Builder'!U2:AF3,1,MATCH(B1,'Encounter Builder'!U3:AF3,1)),"Trivial")</f>
        <v>Trivial</v>
      </c>
      <c r="C2" s="230"/>
      <c r="D2" s="96"/>
      <c r="E2" s="96"/>
      <c r="F2" s="96"/>
      <c r="G2" s="96"/>
      <c r="H2" s="97"/>
      <c r="I2" s="96"/>
      <c r="J2" s="96"/>
    </row>
    <row r="3" spans="1:33" ht="15.75" thickBot="1" x14ac:dyDescent="0.3">
      <c r="A3" s="126"/>
      <c r="B3" s="98"/>
      <c r="C3" s="99"/>
      <c r="D3" s="98"/>
      <c r="E3" s="98"/>
      <c r="F3" s="96"/>
      <c r="G3" s="96"/>
      <c r="H3" s="97"/>
      <c r="I3" s="96"/>
      <c r="J3" s="96"/>
    </row>
    <row r="4" spans="1:33" ht="15.75" thickBot="1" x14ac:dyDescent="0.3">
      <c r="A4" s="127" t="s">
        <v>1387</v>
      </c>
      <c r="B4" s="36" t="s">
        <v>1388</v>
      </c>
      <c r="C4" s="37" t="s">
        <v>1423</v>
      </c>
      <c r="D4" s="37" t="s">
        <v>3</v>
      </c>
      <c r="E4" s="143" t="s">
        <v>1226</v>
      </c>
      <c r="F4" s="38" t="s">
        <v>1</v>
      </c>
      <c r="G4" s="38" t="s">
        <v>2</v>
      </c>
      <c r="H4" s="40" t="s">
        <v>6</v>
      </c>
      <c r="I4" s="38" t="s">
        <v>7</v>
      </c>
      <c r="J4" s="39" t="s">
        <v>8</v>
      </c>
      <c r="L4" s="128"/>
      <c r="M4" s="129"/>
      <c r="N4" s="129"/>
      <c r="O4" s="129"/>
      <c r="P4" s="129"/>
      <c r="Q4" s="129"/>
      <c r="R4" s="129"/>
      <c r="S4" s="129"/>
      <c r="T4" s="129"/>
      <c r="U4" s="129"/>
      <c r="V4" s="129"/>
      <c r="W4" s="129"/>
      <c r="X4" s="129"/>
      <c r="Y4" s="129"/>
      <c r="Z4" s="129"/>
      <c r="AA4" s="129"/>
      <c r="AB4" s="129"/>
      <c r="AC4" s="129"/>
      <c r="AD4" s="129"/>
      <c r="AE4" s="129"/>
      <c r="AF4" s="129"/>
      <c r="AG4" s="130"/>
    </row>
    <row r="5" spans="1:33" x14ac:dyDescent="0.25">
      <c r="A5" s="131" t="s">
        <v>815</v>
      </c>
      <c r="B5" s="43">
        <v>1</v>
      </c>
      <c r="C5" s="30">
        <v>1</v>
      </c>
      <c r="D5" s="30">
        <v>1</v>
      </c>
      <c r="E5" s="30"/>
      <c r="F5" s="31" t="s">
        <v>74</v>
      </c>
      <c r="G5" s="31">
        <v>10</v>
      </c>
      <c r="H5" s="41">
        <v>0</v>
      </c>
      <c r="I5" s="31">
        <v>20</v>
      </c>
      <c r="J5" s="32" t="s">
        <v>791</v>
      </c>
      <c r="L5" s="132"/>
      <c r="M5" s="133"/>
      <c r="N5" s="133"/>
      <c r="O5" s="133"/>
      <c r="P5" s="133"/>
      <c r="Q5" s="133"/>
      <c r="R5" s="133"/>
      <c r="S5" s="133"/>
      <c r="T5" s="133"/>
      <c r="U5" s="133"/>
      <c r="V5" s="133"/>
      <c r="W5" s="133"/>
      <c r="X5" s="133"/>
      <c r="Y5" s="133"/>
      <c r="Z5" s="133"/>
      <c r="AA5" s="133"/>
      <c r="AB5" s="133"/>
      <c r="AC5" s="133"/>
      <c r="AD5" s="133"/>
      <c r="AE5" s="133"/>
      <c r="AF5" s="133"/>
      <c r="AG5" s="134"/>
    </row>
    <row r="6" spans="1:33" x14ac:dyDescent="0.25">
      <c r="A6" s="135" t="s">
        <v>815</v>
      </c>
      <c r="B6" s="44">
        <v>2</v>
      </c>
      <c r="C6" s="33">
        <v>1</v>
      </c>
      <c r="D6" s="33">
        <v>1</v>
      </c>
      <c r="F6" s="34" t="s">
        <v>74</v>
      </c>
      <c r="G6" s="34">
        <v>10</v>
      </c>
      <c r="H6" s="42">
        <v>0</v>
      </c>
      <c r="I6" s="34">
        <v>20</v>
      </c>
      <c r="J6" s="35" t="s">
        <v>791</v>
      </c>
      <c r="L6" s="132"/>
      <c r="M6" s="133"/>
      <c r="N6" s="133"/>
      <c r="O6" s="133"/>
      <c r="P6" s="133"/>
      <c r="Q6" s="133"/>
      <c r="R6" s="133"/>
      <c r="S6" s="133"/>
      <c r="T6" s="133"/>
      <c r="U6" s="133"/>
      <c r="V6" s="133"/>
      <c r="W6" s="133"/>
      <c r="X6" s="133"/>
      <c r="Y6" s="133"/>
      <c r="Z6" s="133"/>
      <c r="AA6" s="133"/>
      <c r="AB6" s="133"/>
      <c r="AC6" s="133"/>
      <c r="AD6" s="133"/>
      <c r="AE6" s="133"/>
      <c r="AF6" s="133"/>
      <c r="AG6" s="134"/>
    </row>
    <row r="7" spans="1:33" x14ac:dyDescent="0.25">
      <c r="A7" s="136" t="s">
        <v>815</v>
      </c>
      <c r="B7" s="76">
        <v>3</v>
      </c>
      <c r="C7" s="77">
        <v>1</v>
      </c>
      <c r="D7" s="77">
        <v>1</v>
      </c>
      <c r="E7" s="77"/>
      <c r="F7" s="78" t="s">
        <v>74</v>
      </c>
      <c r="G7" s="78">
        <v>10</v>
      </c>
      <c r="H7" s="79">
        <v>0</v>
      </c>
      <c r="I7" s="78">
        <v>20</v>
      </c>
      <c r="J7" s="80" t="s">
        <v>791</v>
      </c>
      <c r="L7" s="132"/>
      <c r="M7" s="133"/>
      <c r="N7" s="133"/>
      <c r="O7" s="133"/>
      <c r="P7" s="133"/>
      <c r="Q7" s="133"/>
      <c r="R7" s="133"/>
      <c r="S7" s="133"/>
      <c r="T7" s="133"/>
      <c r="U7" s="133"/>
      <c r="V7" s="133"/>
      <c r="W7" s="133"/>
      <c r="X7" s="133"/>
      <c r="Y7" s="133"/>
      <c r="Z7" s="133"/>
      <c r="AA7" s="133"/>
      <c r="AB7" s="133"/>
      <c r="AC7" s="133"/>
      <c r="AD7" s="133"/>
      <c r="AE7" s="133"/>
      <c r="AF7" s="133"/>
      <c r="AG7" s="134"/>
    </row>
    <row r="8" spans="1:33" ht="15.75" thickBot="1" x14ac:dyDescent="0.3">
      <c r="A8" s="137" t="s">
        <v>815</v>
      </c>
      <c r="B8" s="86">
        <v>4</v>
      </c>
      <c r="C8" s="87">
        <v>3</v>
      </c>
      <c r="D8" s="87">
        <v>3</v>
      </c>
      <c r="E8" s="87"/>
      <c r="F8" s="88" t="s">
        <v>74</v>
      </c>
      <c r="G8" s="88">
        <v>10</v>
      </c>
      <c r="H8" s="89">
        <v>0</v>
      </c>
      <c r="I8" s="88">
        <v>20</v>
      </c>
      <c r="J8" s="90" t="s">
        <v>791</v>
      </c>
      <c r="L8" s="132"/>
      <c r="M8" s="133"/>
      <c r="N8" s="133"/>
      <c r="O8" s="133"/>
      <c r="P8" s="133"/>
      <c r="Q8" s="133"/>
      <c r="R8" s="133"/>
      <c r="S8" s="133"/>
      <c r="T8" s="133"/>
      <c r="U8" s="133"/>
      <c r="V8" s="133"/>
      <c r="W8" s="133"/>
      <c r="X8" s="133"/>
      <c r="Y8" s="133"/>
      <c r="Z8" s="133"/>
      <c r="AA8" s="133"/>
      <c r="AB8" s="133"/>
      <c r="AC8" s="133"/>
      <c r="AD8" s="133"/>
      <c r="AE8" s="133"/>
      <c r="AF8" s="133"/>
      <c r="AG8" s="134"/>
    </row>
    <row r="9" spans="1:33" x14ac:dyDescent="0.25">
      <c r="A9" s="138" t="s">
        <v>459</v>
      </c>
      <c r="B9" s="91">
        <v>1</v>
      </c>
      <c r="C9" s="92">
        <v>9</v>
      </c>
      <c r="D9" s="92">
        <v>9</v>
      </c>
      <c r="E9" s="92"/>
      <c r="F9" s="93" t="s">
        <v>71</v>
      </c>
      <c r="G9" s="93">
        <v>12</v>
      </c>
      <c r="H9" s="94">
        <v>0.125</v>
      </c>
      <c r="I9" s="93">
        <v>50</v>
      </c>
      <c r="J9" s="95" t="s">
        <v>457</v>
      </c>
      <c r="L9" s="132"/>
      <c r="M9" s="133"/>
      <c r="N9" s="133"/>
      <c r="O9" s="133"/>
      <c r="P9" s="133"/>
      <c r="Q9" s="133"/>
      <c r="R9" s="133"/>
      <c r="S9" s="133"/>
      <c r="T9" s="133"/>
      <c r="U9" s="133"/>
      <c r="V9" s="133"/>
      <c r="W9" s="133"/>
      <c r="X9" s="133"/>
      <c r="Y9" s="133"/>
      <c r="Z9" s="133"/>
      <c r="AA9" s="133"/>
      <c r="AB9" s="133"/>
      <c r="AC9" s="133"/>
      <c r="AD9" s="133"/>
      <c r="AE9" s="133"/>
      <c r="AF9" s="133"/>
      <c r="AG9" s="134"/>
    </row>
    <row r="10" spans="1:33" ht="15.75" thickBot="1" x14ac:dyDescent="0.3">
      <c r="A10" s="137" t="s">
        <v>459</v>
      </c>
      <c r="B10" s="86">
        <v>2</v>
      </c>
      <c r="C10" s="87">
        <v>5</v>
      </c>
      <c r="D10" s="87">
        <v>5</v>
      </c>
      <c r="E10" s="87"/>
      <c r="F10" s="88" t="s">
        <v>71</v>
      </c>
      <c r="G10" s="88">
        <v>12</v>
      </c>
      <c r="H10" s="89">
        <v>0.125</v>
      </c>
      <c r="I10" s="88">
        <v>50</v>
      </c>
      <c r="J10" s="90" t="s">
        <v>457</v>
      </c>
      <c r="L10" s="132"/>
      <c r="M10" s="133"/>
      <c r="N10" s="133"/>
      <c r="O10" s="133"/>
      <c r="P10" s="133"/>
      <c r="Q10" s="133"/>
      <c r="R10" s="133"/>
      <c r="S10" s="133"/>
      <c r="T10" s="133"/>
      <c r="U10" s="133"/>
      <c r="V10" s="133"/>
      <c r="W10" s="133"/>
      <c r="X10" s="133"/>
      <c r="Y10" s="133"/>
      <c r="Z10" s="133"/>
      <c r="AA10" s="133"/>
      <c r="AB10" s="133"/>
      <c r="AC10" s="133"/>
      <c r="AD10" s="133"/>
      <c r="AE10" s="133"/>
      <c r="AF10" s="133"/>
      <c r="AG10" s="134"/>
    </row>
    <row r="11" spans="1:33" x14ac:dyDescent="0.25">
      <c r="A11" s="139"/>
      <c r="B11" s="81"/>
      <c r="C11" s="82"/>
      <c r="D11" s="82"/>
      <c r="E11" s="82"/>
      <c r="F11" s="83"/>
      <c r="G11" s="83"/>
      <c r="H11" s="84"/>
      <c r="I11" s="83"/>
      <c r="J11" s="85"/>
      <c r="L11" s="132"/>
      <c r="M11" s="133"/>
      <c r="N11" s="133"/>
      <c r="O11" s="133"/>
      <c r="P11" s="133"/>
      <c r="Q11" s="133"/>
      <c r="R11" s="133"/>
      <c r="S11" s="133"/>
      <c r="T11" s="133"/>
      <c r="U11" s="133"/>
      <c r="V11" s="133"/>
      <c r="W11" s="133"/>
      <c r="X11" s="133"/>
      <c r="Y11" s="133"/>
      <c r="Z11" s="133"/>
      <c r="AA11" s="133"/>
      <c r="AB11" s="133"/>
      <c r="AC11" s="133"/>
      <c r="AD11" s="133"/>
      <c r="AE11" s="133"/>
      <c r="AF11" s="133"/>
      <c r="AG11" s="134"/>
    </row>
    <row r="12" spans="1:33" x14ac:dyDescent="0.25">
      <c r="L12" s="132"/>
      <c r="M12" s="133"/>
      <c r="N12" s="133"/>
      <c r="O12" s="133"/>
      <c r="P12" s="133"/>
      <c r="Q12" s="133"/>
      <c r="R12" s="133"/>
      <c r="S12" s="133"/>
      <c r="T12" s="133"/>
      <c r="U12" s="133"/>
      <c r="V12" s="133"/>
      <c r="W12" s="133"/>
      <c r="X12" s="133"/>
      <c r="Y12" s="133"/>
      <c r="Z12" s="133"/>
      <c r="AA12" s="133"/>
      <c r="AB12" s="133"/>
      <c r="AC12" s="133"/>
      <c r="AD12" s="133"/>
      <c r="AE12" s="133"/>
      <c r="AF12" s="133"/>
      <c r="AG12" s="134"/>
    </row>
    <row r="13" spans="1:33" x14ac:dyDescent="0.25">
      <c r="L13" s="132"/>
      <c r="M13" s="133"/>
      <c r="N13" s="133"/>
      <c r="O13" s="133"/>
      <c r="P13" s="133"/>
      <c r="Q13" s="133"/>
      <c r="R13" s="133"/>
      <c r="S13" s="133"/>
      <c r="T13" s="133"/>
      <c r="U13" s="133"/>
      <c r="V13" s="133"/>
      <c r="W13" s="133"/>
      <c r="X13" s="133"/>
      <c r="Y13" s="133"/>
      <c r="Z13" s="133"/>
      <c r="AA13" s="133"/>
      <c r="AB13" s="133"/>
      <c r="AC13" s="133"/>
      <c r="AD13" s="133"/>
      <c r="AE13" s="133"/>
      <c r="AF13" s="133"/>
      <c r="AG13" s="134"/>
    </row>
    <row r="14" spans="1:33" x14ac:dyDescent="0.25">
      <c r="L14" s="132"/>
      <c r="M14" s="133"/>
      <c r="N14" s="133"/>
      <c r="O14" s="133"/>
      <c r="P14" s="133"/>
      <c r="Q14" s="133"/>
      <c r="R14" s="133"/>
      <c r="S14" s="133"/>
      <c r="T14" s="133"/>
      <c r="U14" s="133"/>
      <c r="V14" s="133"/>
      <c r="W14" s="133"/>
      <c r="X14" s="133"/>
      <c r="Y14" s="133"/>
      <c r="Z14" s="133"/>
      <c r="AA14" s="133"/>
      <c r="AB14" s="133"/>
      <c r="AC14" s="133"/>
      <c r="AD14" s="133"/>
      <c r="AE14" s="133"/>
      <c r="AF14" s="133"/>
      <c r="AG14" s="134"/>
    </row>
    <row r="15" spans="1:33" x14ac:dyDescent="0.25">
      <c r="L15" s="132"/>
      <c r="M15" s="133"/>
      <c r="N15" s="133"/>
      <c r="O15" s="133"/>
      <c r="P15" s="133"/>
      <c r="Q15" s="133"/>
      <c r="R15" s="133"/>
      <c r="S15" s="133"/>
      <c r="T15" s="133"/>
      <c r="U15" s="133"/>
      <c r="V15" s="133"/>
      <c r="W15" s="133"/>
      <c r="X15" s="133"/>
      <c r="Y15" s="133"/>
      <c r="Z15" s="133"/>
      <c r="AA15" s="133"/>
      <c r="AB15" s="133"/>
      <c r="AC15" s="133"/>
      <c r="AD15" s="133"/>
      <c r="AE15" s="133"/>
      <c r="AF15" s="133"/>
      <c r="AG15" s="134"/>
    </row>
    <row r="16" spans="1:33" x14ac:dyDescent="0.25">
      <c r="L16" s="132"/>
      <c r="M16" s="133"/>
      <c r="N16" s="133"/>
      <c r="O16" s="133"/>
      <c r="P16" s="133"/>
      <c r="Q16" s="133"/>
      <c r="R16" s="133"/>
      <c r="S16" s="133"/>
      <c r="T16" s="133"/>
      <c r="U16" s="133"/>
      <c r="V16" s="133"/>
      <c r="W16" s="133"/>
      <c r="X16" s="133"/>
      <c r="Y16" s="133"/>
      <c r="Z16" s="133"/>
      <c r="AA16" s="133"/>
      <c r="AB16" s="133"/>
      <c r="AC16" s="133"/>
      <c r="AD16" s="133"/>
      <c r="AE16" s="133"/>
      <c r="AF16" s="133"/>
      <c r="AG16" s="134"/>
    </row>
    <row r="17" spans="12:33" x14ac:dyDescent="0.25">
      <c r="L17" s="132"/>
      <c r="M17" s="133"/>
      <c r="N17" s="133"/>
      <c r="O17" s="133"/>
      <c r="P17" s="133"/>
      <c r="Q17" s="133"/>
      <c r="R17" s="133"/>
      <c r="S17" s="133"/>
      <c r="T17" s="133"/>
      <c r="U17" s="133"/>
      <c r="V17" s="133"/>
      <c r="W17" s="133"/>
      <c r="X17" s="133"/>
      <c r="Y17" s="133"/>
      <c r="Z17" s="133"/>
      <c r="AA17" s="133"/>
      <c r="AB17" s="133"/>
      <c r="AC17" s="133"/>
      <c r="AD17" s="133"/>
      <c r="AE17" s="133"/>
      <c r="AF17" s="133"/>
      <c r="AG17" s="134"/>
    </row>
    <row r="18" spans="12:33" x14ac:dyDescent="0.25">
      <c r="L18" s="132"/>
      <c r="M18" s="133"/>
      <c r="N18" s="133"/>
      <c r="O18" s="133"/>
      <c r="P18" s="133"/>
      <c r="Q18" s="133"/>
      <c r="R18" s="133"/>
      <c r="S18" s="133"/>
      <c r="T18" s="133"/>
      <c r="U18" s="133"/>
      <c r="V18" s="133"/>
      <c r="W18" s="133"/>
      <c r="X18" s="133"/>
      <c r="Y18" s="133"/>
      <c r="Z18" s="133"/>
      <c r="AA18" s="133"/>
      <c r="AB18" s="133"/>
      <c r="AC18" s="133"/>
      <c r="AD18" s="133"/>
      <c r="AE18" s="133"/>
      <c r="AF18" s="133"/>
      <c r="AG18" s="134"/>
    </row>
    <row r="19" spans="12:33" x14ac:dyDescent="0.25">
      <c r="L19" s="132"/>
      <c r="M19" s="133"/>
      <c r="N19" s="133"/>
      <c r="O19" s="133"/>
      <c r="P19" s="133"/>
      <c r="Q19" s="133"/>
      <c r="R19" s="133"/>
      <c r="S19" s="133"/>
      <c r="T19" s="133"/>
      <c r="U19" s="133"/>
      <c r="V19" s="133"/>
      <c r="W19" s="133"/>
      <c r="X19" s="133"/>
      <c r="Y19" s="133"/>
      <c r="Z19" s="133"/>
      <c r="AA19" s="133"/>
      <c r="AB19" s="133"/>
      <c r="AC19" s="133"/>
      <c r="AD19" s="133"/>
      <c r="AE19" s="133"/>
      <c r="AF19" s="133"/>
      <c r="AG19" s="134"/>
    </row>
    <row r="20" spans="12:33" x14ac:dyDescent="0.25">
      <c r="L20" s="132"/>
      <c r="M20" s="133"/>
      <c r="N20" s="133"/>
      <c r="O20" s="133"/>
      <c r="P20" s="133"/>
      <c r="Q20" s="133"/>
      <c r="R20" s="133"/>
      <c r="S20" s="133"/>
      <c r="T20" s="133"/>
      <c r="U20" s="133"/>
      <c r="V20" s="133"/>
      <c r="W20" s="133"/>
      <c r="X20" s="133"/>
      <c r="Y20" s="133"/>
      <c r="Z20" s="133"/>
      <c r="AA20" s="133"/>
      <c r="AB20" s="133"/>
      <c r="AC20" s="133"/>
      <c r="AD20" s="133"/>
      <c r="AE20" s="133"/>
      <c r="AF20" s="133"/>
      <c r="AG20" s="134"/>
    </row>
    <row r="21" spans="12:33" x14ac:dyDescent="0.25">
      <c r="L21" s="132"/>
      <c r="M21" s="133"/>
      <c r="N21" s="133"/>
      <c r="O21" s="133"/>
      <c r="P21" s="133"/>
      <c r="Q21" s="133"/>
      <c r="R21" s="133"/>
      <c r="S21" s="133"/>
      <c r="T21" s="133"/>
      <c r="U21" s="133"/>
      <c r="V21" s="133"/>
      <c r="W21" s="133"/>
      <c r="X21" s="133"/>
      <c r="Y21" s="133"/>
      <c r="Z21" s="133"/>
      <c r="AA21" s="133"/>
      <c r="AB21" s="133"/>
      <c r="AC21" s="133"/>
      <c r="AD21" s="133"/>
      <c r="AE21" s="133"/>
      <c r="AF21" s="133"/>
      <c r="AG21" s="134"/>
    </row>
    <row r="22" spans="12:33" x14ac:dyDescent="0.25">
      <c r="L22" s="132"/>
      <c r="M22" s="133"/>
      <c r="N22" s="133"/>
      <c r="O22" s="133"/>
      <c r="P22" s="133"/>
      <c r="Q22" s="133"/>
      <c r="R22" s="133"/>
      <c r="S22" s="133"/>
      <c r="T22" s="133"/>
      <c r="U22" s="133"/>
      <c r="V22" s="133"/>
      <c r="W22" s="133"/>
      <c r="X22" s="133"/>
      <c r="Y22" s="133"/>
      <c r="Z22" s="133"/>
      <c r="AA22" s="133"/>
      <c r="AB22" s="133"/>
      <c r="AC22" s="133"/>
      <c r="AD22" s="133"/>
      <c r="AE22" s="133"/>
      <c r="AF22" s="133"/>
      <c r="AG22" s="134"/>
    </row>
    <row r="23" spans="12:33" x14ac:dyDescent="0.25">
      <c r="L23" s="132"/>
      <c r="M23" s="133"/>
      <c r="N23" s="133"/>
      <c r="O23" s="133"/>
      <c r="P23" s="133"/>
      <c r="Q23" s="133"/>
      <c r="R23" s="133"/>
      <c r="S23" s="133"/>
      <c r="T23" s="133"/>
      <c r="U23" s="133"/>
      <c r="V23" s="133"/>
      <c r="W23" s="133"/>
      <c r="X23" s="133"/>
      <c r="Y23" s="133"/>
      <c r="Z23" s="133"/>
      <c r="AA23" s="133"/>
      <c r="AB23" s="133"/>
      <c r="AC23" s="133"/>
      <c r="AD23" s="133"/>
      <c r="AE23" s="133"/>
      <c r="AF23" s="133"/>
      <c r="AG23" s="134"/>
    </row>
    <row r="24" spans="12:33" x14ac:dyDescent="0.25">
      <c r="L24" s="132"/>
      <c r="M24" s="133"/>
      <c r="N24" s="133"/>
      <c r="O24" s="133"/>
      <c r="P24" s="133"/>
      <c r="Q24" s="133"/>
      <c r="R24" s="133"/>
      <c r="S24" s="133"/>
      <c r="T24" s="133"/>
      <c r="U24" s="133"/>
      <c r="V24" s="133"/>
      <c r="W24" s="133"/>
      <c r="X24" s="133"/>
      <c r="Y24" s="133"/>
      <c r="Z24" s="133"/>
      <c r="AA24" s="133"/>
      <c r="AB24" s="133"/>
      <c r="AC24" s="133"/>
      <c r="AD24" s="133"/>
      <c r="AE24" s="133"/>
      <c r="AF24" s="133"/>
      <c r="AG24" s="134"/>
    </row>
    <row r="25" spans="12:33" x14ac:dyDescent="0.25">
      <c r="L25" s="132"/>
      <c r="M25" s="133"/>
      <c r="N25" s="133"/>
      <c r="O25" s="133"/>
      <c r="P25" s="133"/>
      <c r="Q25" s="133"/>
      <c r="R25" s="133"/>
      <c r="S25" s="133"/>
      <c r="T25" s="133"/>
      <c r="U25" s="133"/>
      <c r="V25" s="133"/>
      <c r="W25" s="133"/>
      <c r="X25" s="133"/>
      <c r="Y25" s="133"/>
      <c r="Z25" s="133"/>
      <c r="AA25" s="133"/>
      <c r="AB25" s="133"/>
      <c r="AC25" s="133"/>
      <c r="AD25" s="133"/>
      <c r="AE25" s="133"/>
      <c r="AF25" s="133"/>
      <c r="AG25" s="134"/>
    </row>
    <row r="26" spans="12:33" x14ac:dyDescent="0.25">
      <c r="L26" s="132"/>
      <c r="M26" s="133"/>
      <c r="N26" s="133"/>
      <c r="O26" s="133"/>
      <c r="P26" s="133"/>
      <c r="Q26" s="133"/>
      <c r="R26" s="133"/>
      <c r="S26" s="133"/>
      <c r="T26" s="133"/>
      <c r="U26" s="133"/>
      <c r="V26" s="133"/>
      <c r="W26" s="133"/>
      <c r="X26" s="133"/>
      <c r="Y26" s="133"/>
      <c r="Z26" s="133"/>
      <c r="AA26" s="133"/>
      <c r="AB26" s="133"/>
      <c r="AC26" s="133"/>
      <c r="AD26" s="133"/>
      <c r="AE26" s="133"/>
      <c r="AF26" s="133"/>
      <c r="AG26" s="134"/>
    </row>
    <row r="27" spans="12:33" x14ac:dyDescent="0.25">
      <c r="L27" s="132"/>
      <c r="M27" s="133"/>
      <c r="N27" s="133"/>
      <c r="O27" s="133"/>
      <c r="P27" s="133"/>
      <c r="Q27" s="133"/>
      <c r="R27" s="133"/>
      <c r="S27" s="133"/>
      <c r="T27" s="133"/>
      <c r="U27" s="133"/>
      <c r="V27" s="133"/>
      <c r="W27" s="133"/>
      <c r="X27" s="133"/>
      <c r="Y27" s="133"/>
      <c r="Z27" s="133"/>
      <c r="AA27" s="133"/>
      <c r="AB27" s="133"/>
      <c r="AC27" s="133"/>
      <c r="AD27" s="133"/>
      <c r="AE27" s="133"/>
      <c r="AF27" s="133"/>
      <c r="AG27" s="134"/>
    </row>
    <row r="28" spans="12:33" ht="15.75" thickBot="1" x14ac:dyDescent="0.3">
      <c r="L28" s="140"/>
      <c r="M28" s="141"/>
      <c r="N28" s="141"/>
      <c r="O28" s="141"/>
      <c r="P28" s="141"/>
      <c r="Q28" s="141"/>
      <c r="R28" s="141"/>
      <c r="S28" s="141"/>
      <c r="T28" s="141"/>
      <c r="U28" s="141"/>
      <c r="V28" s="141"/>
      <c r="W28" s="141"/>
      <c r="X28" s="141"/>
      <c r="Y28" s="141"/>
      <c r="Z28" s="141"/>
      <c r="AA28" s="141"/>
      <c r="AB28" s="141"/>
      <c r="AC28" s="141"/>
      <c r="AD28" s="141"/>
      <c r="AE28" s="141"/>
      <c r="AF28" s="141"/>
      <c r="AG28" s="142"/>
    </row>
  </sheetData>
  <mergeCells count="2">
    <mergeCell ref="B1:C1"/>
    <mergeCell ref="B2:C2"/>
  </mergeCells>
  <conditionalFormatting sqref="D5">
    <cfRule type="colorScale" priority="6">
      <colorScale>
        <cfvo type="num" val="0"/>
        <cfvo type="num" val="$C$5/2"/>
        <cfvo type="num" val="$C$5"/>
        <color rgb="FFF8696B"/>
        <color rgb="FFFFEB84"/>
        <color rgb="FF63BE7B"/>
      </colorScale>
    </cfRule>
  </conditionalFormatting>
  <conditionalFormatting sqref="D6">
    <cfRule type="colorScale" priority="5">
      <colorScale>
        <cfvo type="num" val="0"/>
        <cfvo type="num" val="$C$6/2"/>
        <cfvo type="num" val="$C$6"/>
        <color rgb="FFF8696B"/>
        <color rgb="FFFFEB84"/>
        <color rgb="FF63BE7B"/>
      </colorScale>
    </cfRule>
  </conditionalFormatting>
  <conditionalFormatting sqref="D7">
    <cfRule type="colorScale" priority="4">
      <colorScale>
        <cfvo type="num" val="0"/>
        <cfvo type="num" val="$C$7/2"/>
        <cfvo type="num" val="$C$7"/>
        <color rgb="FFF8696B"/>
        <color rgb="FFFFEB84"/>
        <color rgb="FF63BE7B"/>
      </colorScale>
    </cfRule>
  </conditionalFormatting>
  <conditionalFormatting sqref="D8">
    <cfRule type="colorScale" priority="3">
      <colorScale>
        <cfvo type="num" val="0"/>
        <cfvo type="num" val="$C$8/2"/>
        <cfvo type="num" val="$C$8"/>
        <color rgb="FFF8696B"/>
        <color rgb="FFFFEB84"/>
        <color rgb="FF63BE7B"/>
      </colorScale>
    </cfRule>
  </conditionalFormatting>
  <conditionalFormatting sqref="D9">
    <cfRule type="colorScale" priority="2">
      <colorScale>
        <cfvo type="num" val="0"/>
        <cfvo type="num" val="$C$9/2"/>
        <cfvo type="num" val="$C$9"/>
        <color rgb="FFF8696B"/>
        <color rgb="FFFFEB84"/>
        <color rgb="FF63BE7B"/>
      </colorScale>
    </cfRule>
  </conditionalFormatting>
  <conditionalFormatting sqref="D10">
    <cfRule type="colorScale" priority="1">
      <colorScale>
        <cfvo type="num" val="0"/>
        <cfvo type="num" val="$C$10/2"/>
        <cfvo type="num" val="$C$10"/>
        <color rgb="FFF8696B"/>
        <color rgb="FFFFEB84"/>
        <color rgb="FF63BE7B"/>
      </colorScale>
    </cfRule>
  </conditionalFormatting>
  <dataValidations count="1">
    <dataValidation type="list" allowBlank="1" showInputMessage="1" showErrorMessage="1" promptTitle="Inflict Conditions" prompt="Inflict the conditions that this creature is ailed with" sqref="E5:E1048576" xr:uid="{537F9A11-BF0B-47ED-AD47-127440DD0DC3}">
      <formula1>INDIRECT("Conditions[Condition]")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714375</xdr:colOff>
                    <xdr:row>3</xdr:row>
                    <xdr:rowOff>9525</xdr:rowOff>
                  </from>
                  <to>
                    <xdr:col>5</xdr:col>
                    <xdr:colOff>0</xdr:colOff>
                    <xdr:row>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64"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RowColHeaders="0" zoomScale="120" zoomScaleNormal="120" workbookViewId="0">
      <selection activeCell="AK4" sqref="AK4"/>
    </sheetView>
  </sheetViews>
  <sheetFormatPr defaultColWidth="2.85546875" defaultRowHeight="15" customHeight="1" x14ac:dyDescent="0.25"/>
  <cols>
    <col min="1" max="16384" width="2.85546875" style="59"/>
  </cols>
  <sheetData>
    <row r="1" spans="1:98" ht="15" customHeight="1" x14ac:dyDescent="0.25">
      <c r="H1" s="281" t="s">
        <v>1383</v>
      </c>
      <c r="I1" s="282"/>
      <c r="J1" s="282"/>
      <c r="K1" s="282"/>
      <c r="L1" s="282"/>
      <c r="M1" s="282"/>
      <c r="N1" s="282"/>
      <c r="O1" s="282"/>
      <c r="P1" s="282"/>
      <c r="Q1" s="282"/>
      <c r="R1" s="282"/>
      <c r="S1" s="283"/>
      <c r="T1" s="64"/>
      <c r="U1" s="281" t="s">
        <v>1384</v>
      </c>
      <c r="V1" s="282"/>
      <c r="W1" s="282"/>
      <c r="X1" s="282"/>
      <c r="Y1" s="282"/>
      <c r="Z1" s="282"/>
      <c r="AA1" s="282"/>
      <c r="AB1" s="282"/>
      <c r="AC1" s="282"/>
      <c r="AD1" s="282"/>
      <c r="AE1" s="282"/>
      <c r="AF1" s="283"/>
    </row>
    <row r="2" spans="1:98" ht="15" customHeight="1" thickBot="1" x14ac:dyDescent="0.3">
      <c r="A2" s="66" t="s">
        <v>1323</v>
      </c>
      <c r="B2" s="67"/>
      <c r="C2" s="67"/>
      <c r="D2" s="67"/>
      <c r="E2" s="67"/>
      <c r="F2" s="311" t="s">
        <v>1088</v>
      </c>
      <c r="G2" s="311"/>
      <c r="H2" s="300" t="s">
        <v>1089</v>
      </c>
      <c r="I2" s="300"/>
      <c r="J2" s="300"/>
      <c r="K2" s="300" t="s">
        <v>1090</v>
      </c>
      <c r="L2" s="300"/>
      <c r="M2" s="300"/>
      <c r="N2" s="300" t="s">
        <v>1091</v>
      </c>
      <c r="O2" s="300"/>
      <c r="P2" s="300"/>
      <c r="Q2" s="285" t="s">
        <v>1092</v>
      </c>
      <c r="R2" s="285"/>
      <c r="S2" s="286"/>
      <c r="U2" s="284" t="s">
        <v>1089</v>
      </c>
      <c r="V2" s="285"/>
      <c r="W2" s="285"/>
      <c r="X2" s="285" t="s">
        <v>1090</v>
      </c>
      <c r="Y2" s="285"/>
      <c r="Z2" s="285"/>
      <c r="AA2" s="285" t="s">
        <v>1091</v>
      </c>
      <c r="AB2" s="285"/>
      <c r="AC2" s="285"/>
      <c r="AD2" s="285" t="s">
        <v>1092</v>
      </c>
      <c r="AE2" s="285"/>
      <c r="AF2" s="286"/>
    </row>
    <row r="3" spans="1:98" ht="15" customHeight="1" thickBot="1" x14ac:dyDescent="0.3">
      <c r="A3" s="314" t="str">
        <f>IF('Player Manager'!J13="","",'Player Manager'!J11)</f>
        <v>Athell</v>
      </c>
      <c r="B3" s="315"/>
      <c r="C3" s="315"/>
      <c r="D3" s="315"/>
      <c r="E3" s="315"/>
      <c r="F3" s="312">
        <f ca="1">IF(A3="","",'Player Manager'!J15)</f>
        <v>2</v>
      </c>
      <c r="G3" s="313"/>
      <c r="H3" s="301">
        <f ca="1">_xlfn.IFNA(VLOOKUP($F$3,EXPThresholds[],2,FALSE),"")</f>
        <v>50</v>
      </c>
      <c r="I3" s="301"/>
      <c r="J3" s="302"/>
      <c r="K3" s="303">
        <f ca="1">_xlfn.IFNA(VLOOKUP($F$3,EXPThresholds[],3,FALSE),"")</f>
        <v>100</v>
      </c>
      <c r="L3" s="301"/>
      <c r="M3" s="302"/>
      <c r="N3" s="303">
        <f ca="1">_xlfn.IFNA(VLOOKUP($F$3,EXPThresholds[],4,FALSE),"")</f>
        <v>150</v>
      </c>
      <c r="O3" s="301"/>
      <c r="P3" s="302"/>
      <c r="Q3" s="301">
        <f ca="1">_xlfn.IFNA(VLOOKUP($F$3,EXPThresholds[],5,FALSE),"")</f>
        <v>200</v>
      </c>
      <c r="R3" s="301"/>
      <c r="S3" s="304"/>
      <c r="U3" s="287">
        <f ca="1">IF(SUM(H3:J12)="","",SUM(H3:J12))</f>
        <v>5975</v>
      </c>
      <c r="V3" s="288"/>
      <c r="W3" s="289"/>
      <c r="X3" s="290">
        <f ca="1">IF(SUM(K3:M12)="","",SUM(K3:M12))</f>
        <v>12050</v>
      </c>
      <c r="Y3" s="288"/>
      <c r="Z3" s="289"/>
      <c r="AA3" s="290">
        <f ca="1">IF(SUM(N3:P12)="","",SUM(N3:P12))</f>
        <v>18225</v>
      </c>
      <c r="AB3" s="288"/>
      <c r="AC3" s="289"/>
      <c r="AD3" s="288">
        <f ca="1">IF(SUM(Q3:S12)="","",SUM(Q3:S12))</f>
        <v>27200</v>
      </c>
      <c r="AE3" s="288"/>
      <c r="AF3" s="291"/>
    </row>
    <row r="4" spans="1:98" ht="15" customHeight="1" x14ac:dyDescent="0.25">
      <c r="A4" s="307" t="str">
        <f>IF('Player Manager'!S13="","",'Player Manager'!S11)</f>
        <v/>
      </c>
      <c r="B4" s="308"/>
      <c r="C4" s="308"/>
      <c r="D4" s="308"/>
      <c r="E4" s="308"/>
      <c r="F4" s="247" t="str">
        <f>IF(A4="","",'Player Manager'!S15)</f>
        <v/>
      </c>
      <c r="G4" s="305"/>
      <c r="H4" s="292" t="str">
        <f>_xlfn.IFNA(VLOOKUP($F4,EXPThresholds[],2,FALSE),"")</f>
        <v/>
      </c>
      <c r="I4" s="292"/>
      <c r="J4" s="293"/>
      <c r="K4" s="294" t="str">
        <f>_xlfn.IFNA(VLOOKUP($F4,EXPThresholds[],3,FALSE),"")</f>
        <v/>
      </c>
      <c r="L4" s="292"/>
      <c r="M4" s="293"/>
      <c r="N4" s="294" t="str">
        <f>_xlfn.IFNA(VLOOKUP($F4,EXPThresholds[],4,FALSE),"")</f>
        <v/>
      </c>
      <c r="O4" s="292"/>
      <c r="P4" s="293"/>
      <c r="Q4" s="292" t="str">
        <f>_xlfn.IFNA(VLOOKUP($F4,EXPThresholds[],5,FALSE),"")</f>
        <v/>
      </c>
      <c r="R4" s="292"/>
      <c r="S4" s="295"/>
      <c r="X4" s="108"/>
      <c r="Y4" s="109"/>
      <c r="Z4" s="109"/>
      <c r="AA4" s="109"/>
      <c r="AB4" s="109"/>
      <c r="AC4" s="110"/>
    </row>
    <row r="5" spans="1:98" ht="15" customHeight="1" thickBot="1" x14ac:dyDescent="0.3">
      <c r="A5" s="307" t="str">
        <f>IF('Player Manager'!AB13="","",'Player Manager'!AB11)</f>
        <v>Castell</v>
      </c>
      <c r="B5" s="308"/>
      <c r="C5" s="308"/>
      <c r="D5" s="308"/>
      <c r="E5" s="308"/>
      <c r="F5" s="247">
        <f ca="1">IF(A5="","",'Player Manager'!AB15)</f>
        <v>15</v>
      </c>
      <c r="G5" s="305"/>
      <c r="H5" s="292">
        <f ca="1">_xlfn.IFNA(VLOOKUP($F5,EXPThresholds[],2,FALSE),"")</f>
        <v>1400</v>
      </c>
      <c r="I5" s="292"/>
      <c r="J5" s="293"/>
      <c r="K5" s="294">
        <f ca="1">_xlfn.IFNA(VLOOKUP($F5,EXPThresholds[],3,FALSE),"")</f>
        <v>2800</v>
      </c>
      <c r="L5" s="292"/>
      <c r="M5" s="293"/>
      <c r="N5" s="294">
        <f ca="1">_xlfn.IFNA(VLOOKUP($F5,EXPThresholds[],4,FALSE),"")</f>
        <v>4300</v>
      </c>
      <c r="O5" s="292"/>
      <c r="P5" s="293"/>
      <c r="Q5" s="292">
        <f ca="1">_xlfn.IFNA(VLOOKUP($F5,EXPThresholds[],5,FALSE),"")</f>
        <v>6400</v>
      </c>
      <c r="R5" s="292"/>
      <c r="S5" s="295"/>
      <c r="X5" s="111"/>
      <c r="Y5" s="24"/>
      <c r="Z5" s="24"/>
      <c r="AA5" s="24"/>
      <c r="AB5" s="24"/>
      <c r="AC5" s="112"/>
    </row>
    <row r="6" spans="1:98" ht="15" customHeight="1" thickBot="1" x14ac:dyDescent="0.3">
      <c r="A6" s="307" t="str">
        <f>IF('Player Manager'!AK13="","",'Player Manager'!AK11)</f>
        <v>Dethrak</v>
      </c>
      <c r="B6" s="308"/>
      <c r="C6" s="308"/>
      <c r="D6" s="308"/>
      <c r="E6" s="308"/>
      <c r="F6" s="247">
        <f ca="1">IF(A6="","",'Player Manager'!AK15)</f>
        <v>19</v>
      </c>
      <c r="G6" s="305"/>
      <c r="H6" s="292">
        <f ca="1">_xlfn.IFNA(VLOOKUP($F6,EXPThresholds[],2,FALSE),"")</f>
        <v>2400</v>
      </c>
      <c r="I6" s="292"/>
      <c r="J6" s="293"/>
      <c r="K6" s="294">
        <f ca="1">_xlfn.IFNA(VLOOKUP($F6,EXPThresholds[],3,FALSE),"")</f>
        <v>4900</v>
      </c>
      <c r="L6" s="292"/>
      <c r="M6" s="293"/>
      <c r="N6" s="294">
        <f ca="1">_xlfn.IFNA(VLOOKUP($F6,EXPThresholds[],4,FALSE),"")</f>
        <v>7300</v>
      </c>
      <c r="O6" s="292"/>
      <c r="P6" s="293"/>
      <c r="Q6" s="292">
        <f ca="1">_xlfn.IFNA(VLOOKUP($F6,EXPThresholds[],5,FALSE),"")</f>
        <v>10900</v>
      </c>
      <c r="R6" s="292"/>
      <c r="S6" s="295"/>
    </row>
    <row r="7" spans="1:98" ht="15" customHeight="1" x14ac:dyDescent="0.25">
      <c r="A7" s="307" t="str">
        <f>IF('Player Manager'!AT13="","",'Player Manager'!AT11)</f>
        <v>Edmond</v>
      </c>
      <c r="B7" s="308"/>
      <c r="C7" s="308"/>
      <c r="D7" s="308"/>
      <c r="E7" s="308"/>
      <c r="F7" s="247">
        <f ca="1">IF(A7="","",'Player Manager'!AT15)</f>
        <v>1</v>
      </c>
      <c r="G7" s="305"/>
      <c r="H7" s="292">
        <f ca="1">_xlfn.IFNA(VLOOKUP($F7,EXPThresholds[],2,FALSE),"")</f>
        <v>25</v>
      </c>
      <c r="I7" s="292"/>
      <c r="J7" s="293"/>
      <c r="K7" s="294">
        <f ca="1">_xlfn.IFNA(VLOOKUP($F7,EXPThresholds[],3,FALSE),"")</f>
        <v>50</v>
      </c>
      <c r="L7" s="292"/>
      <c r="M7" s="293"/>
      <c r="N7" s="294">
        <f ca="1">_xlfn.IFNA(VLOOKUP($F7,EXPThresholds[],4,FALSE),"")</f>
        <v>75</v>
      </c>
      <c r="O7" s="292"/>
      <c r="P7" s="293"/>
      <c r="Q7" s="292">
        <f ca="1">_xlfn.IFNA(VLOOKUP($F7,EXPThresholds[],5,FALSE),"")</f>
        <v>100</v>
      </c>
      <c r="R7" s="292"/>
      <c r="S7" s="295"/>
      <c r="U7" s="108"/>
      <c r="V7" s="109"/>
      <c r="W7" s="109"/>
      <c r="X7" s="109"/>
      <c r="Y7" s="109"/>
      <c r="Z7" s="109"/>
      <c r="AA7" s="109"/>
      <c r="AB7" s="109"/>
      <c r="AC7" s="109"/>
      <c r="AD7" s="109"/>
      <c r="AE7" s="109"/>
      <c r="AF7" s="110"/>
    </row>
    <row r="8" spans="1:98" ht="15" customHeight="1" x14ac:dyDescent="0.25">
      <c r="A8" s="307" t="str">
        <f>IF('Player Manager'!BC13="","",'Player Manager'!BC11)</f>
        <v/>
      </c>
      <c r="B8" s="308"/>
      <c r="C8" s="308"/>
      <c r="D8" s="308"/>
      <c r="E8" s="308"/>
      <c r="F8" s="247" t="str">
        <f>IF(A8="","",'Player Manager'!BC15)</f>
        <v/>
      </c>
      <c r="G8" s="305"/>
      <c r="H8" s="292" t="str">
        <f>_xlfn.IFNA(VLOOKUP($F8,EXPThresholds[],2,FALSE),"")</f>
        <v/>
      </c>
      <c r="I8" s="292"/>
      <c r="J8" s="293"/>
      <c r="K8" s="294" t="str">
        <f>_xlfn.IFNA(VLOOKUP($F8,EXPThresholds[],3,FALSE),"")</f>
        <v/>
      </c>
      <c r="L8" s="292"/>
      <c r="M8" s="293"/>
      <c r="N8" s="294" t="str">
        <f>_xlfn.IFNA(VLOOKUP($F8,EXPThresholds[],4,FALSE),"")</f>
        <v/>
      </c>
      <c r="O8" s="292"/>
      <c r="P8" s="293"/>
      <c r="Q8" s="292" t="str">
        <f>_xlfn.IFNA(VLOOKUP($F8,EXPThresholds[],5,FALSE),"")</f>
        <v/>
      </c>
      <c r="R8" s="292"/>
      <c r="S8" s="295"/>
      <c r="U8" s="113"/>
      <c r="V8" s="18"/>
      <c r="W8" s="18"/>
      <c r="X8" s="18"/>
      <c r="Y8" s="18"/>
      <c r="Z8" s="18"/>
      <c r="AA8" s="18"/>
      <c r="AB8" s="18"/>
      <c r="AC8" s="18"/>
      <c r="AD8" s="18"/>
      <c r="AE8" s="18"/>
      <c r="AF8" s="114"/>
    </row>
    <row r="9" spans="1:98" ht="15" customHeight="1" x14ac:dyDescent="0.25">
      <c r="A9" s="307" t="str">
        <f>IF('Player Manager'!BL13="","",'Player Manager'!BL11)</f>
        <v/>
      </c>
      <c r="B9" s="308"/>
      <c r="C9" s="308"/>
      <c r="D9" s="308"/>
      <c r="E9" s="308"/>
      <c r="F9" s="247" t="str">
        <f>IF(A9="","",'Player Manager'!BL15)</f>
        <v/>
      </c>
      <c r="G9" s="305"/>
      <c r="H9" s="292" t="str">
        <f>_xlfn.IFNA(VLOOKUP($F9,EXPThresholds[],2,FALSE),"")</f>
        <v/>
      </c>
      <c r="I9" s="292"/>
      <c r="J9" s="293"/>
      <c r="K9" s="294" t="str">
        <f>_xlfn.IFNA(VLOOKUP($F9,EXPThresholds[],3,FALSE),"")</f>
        <v/>
      </c>
      <c r="L9" s="292"/>
      <c r="M9" s="293"/>
      <c r="N9" s="294" t="str">
        <f>_xlfn.IFNA(VLOOKUP($F9,EXPThresholds[],4,FALSE),"")</f>
        <v/>
      </c>
      <c r="O9" s="292"/>
      <c r="P9" s="293"/>
      <c r="Q9" s="292" t="str">
        <f>_xlfn.IFNA(VLOOKUP($F9,EXPThresholds[],5,FALSE),"")</f>
        <v/>
      </c>
      <c r="R9" s="292"/>
      <c r="S9" s="295"/>
      <c r="U9" s="113"/>
      <c r="V9" s="18"/>
      <c r="W9" s="18"/>
      <c r="X9" s="18"/>
      <c r="Y9" s="18"/>
      <c r="Z9" s="18"/>
      <c r="AA9" s="18"/>
      <c r="AB9" s="18"/>
      <c r="AC9" s="18"/>
      <c r="AD9" s="18"/>
      <c r="AE9" s="18"/>
      <c r="AF9" s="114"/>
    </row>
    <row r="10" spans="1:98" ht="15" customHeight="1" x14ac:dyDescent="0.25">
      <c r="A10" s="307" t="str">
        <f>IF('Player Manager'!BU13="","",'Player Manager'!BU11)</f>
        <v>Hadar</v>
      </c>
      <c r="B10" s="308"/>
      <c r="C10" s="308"/>
      <c r="D10" s="308"/>
      <c r="E10" s="308"/>
      <c r="F10" s="247">
        <f ca="1">IF(A10="","",'Player Manager'!BL15)</f>
        <v>12</v>
      </c>
      <c r="G10" s="305"/>
      <c r="H10" s="292">
        <f ca="1">_xlfn.IFNA(VLOOKUP($F10,EXPThresholds[],2,FALSE),"")</f>
        <v>1000</v>
      </c>
      <c r="I10" s="292"/>
      <c r="J10" s="293"/>
      <c r="K10" s="294">
        <f ca="1">_xlfn.IFNA(VLOOKUP($F10,EXPThresholds[],3,FALSE),"")</f>
        <v>2000</v>
      </c>
      <c r="L10" s="292"/>
      <c r="M10" s="293"/>
      <c r="N10" s="294">
        <f ca="1">_xlfn.IFNA(VLOOKUP($F10,EXPThresholds[],4,FALSE),"")</f>
        <v>3000</v>
      </c>
      <c r="O10" s="292"/>
      <c r="P10" s="293"/>
      <c r="Q10" s="292">
        <f ca="1">_xlfn.IFNA(VLOOKUP($F10,EXPThresholds[],5,FALSE),"")</f>
        <v>4500</v>
      </c>
      <c r="R10" s="292"/>
      <c r="S10" s="295"/>
      <c r="U10" s="113"/>
      <c r="V10" s="18"/>
      <c r="W10" s="18"/>
      <c r="X10" s="18"/>
      <c r="Y10" s="18"/>
      <c r="Z10" s="18"/>
      <c r="AA10" s="18"/>
      <c r="AB10" s="18"/>
      <c r="AC10" s="18"/>
      <c r="AD10" s="18"/>
      <c r="AE10" s="18"/>
      <c r="AF10" s="114"/>
    </row>
    <row r="11" spans="1:98" ht="15" customHeight="1" x14ac:dyDescent="0.25">
      <c r="A11" s="307" t="str">
        <f>IF('Player Manager'!CD13="","",'Player Manager'!CD11)</f>
        <v/>
      </c>
      <c r="B11" s="308"/>
      <c r="C11" s="308"/>
      <c r="D11" s="308"/>
      <c r="E11" s="308"/>
      <c r="F11" s="247" t="str">
        <f>IF(A11="","",'Player Manager'!BU15)</f>
        <v/>
      </c>
      <c r="G11" s="305"/>
      <c r="H11" s="292" t="str">
        <f>_xlfn.IFNA(VLOOKUP($F11,EXPThresholds[],2,FALSE),"")</f>
        <v/>
      </c>
      <c r="I11" s="292"/>
      <c r="J11" s="293"/>
      <c r="K11" s="294" t="str">
        <f>_xlfn.IFNA(VLOOKUP($F11,EXPThresholds[],3,FALSE),"")</f>
        <v/>
      </c>
      <c r="L11" s="292"/>
      <c r="M11" s="293"/>
      <c r="N11" s="294" t="str">
        <f>_xlfn.IFNA(VLOOKUP($F11,EXPThresholds[],4,FALSE),"")</f>
        <v/>
      </c>
      <c r="O11" s="292"/>
      <c r="P11" s="293"/>
      <c r="Q11" s="292" t="str">
        <f>_xlfn.IFNA(VLOOKUP($F11,EXPThresholds[],5,FALSE),"")</f>
        <v/>
      </c>
      <c r="R11" s="292"/>
      <c r="S11" s="295"/>
      <c r="U11" s="113"/>
      <c r="V11" s="18"/>
      <c r="W11" s="18"/>
      <c r="X11" s="18"/>
      <c r="Y11" s="18"/>
      <c r="Z11" s="18"/>
      <c r="AA11" s="18"/>
      <c r="AB11" s="18"/>
      <c r="AC11" s="18"/>
      <c r="AD11" s="18"/>
      <c r="AE11" s="18"/>
      <c r="AF11" s="114"/>
    </row>
    <row r="12" spans="1:98" ht="15" customHeight="1" thickBot="1" x14ac:dyDescent="0.3">
      <c r="A12" s="309" t="str">
        <f>IF('Player Manager'!CM13="","",'Player Manager'!CM11)</f>
        <v>Jorell</v>
      </c>
      <c r="B12" s="310"/>
      <c r="C12" s="310"/>
      <c r="D12" s="310"/>
      <c r="E12" s="310"/>
      <c r="F12" s="257">
        <f ca="1">IF(A12="","",'Player Manager'!CD15)</f>
        <v>13</v>
      </c>
      <c r="G12" s="306"/>
      <c r="H12" s="296">
        <f ca="1">_xlfn.IFNA(VLOOKUP($F12,EXPThresholds[],2,FALSE),"")</f>
        <v>1100</v>
      </c>
      <c r="I12" s="296"/>
      <c r="J12" s="297"/>
      <c r="K12" s="298">
        <f ca="1">_xlfn.IFNA(VLOOKUP($F12,EXPThresholds[],3,FALSE),"")</f>
        <v>2200</v>
      </c>
      <c r="L12" s="296"/>
      <c r="M12" s="297"/>
      <c r="N12" s="298">
        <f ca="1">_xlfn.IFNA(VLOOKUP($F12,EXPThresholds[],4,FALSE),"")</f>
        <v>3400</v>
      </c>
      <c r="O12" s="296"/>
      <c r="P12" s="297"/>
      <c r="Q12" s="296">
        <f ca="1">_xlfn.IFNA(VLOOKUP($F12,EXPThresholds[],5,FALSE),"")</f>
        <v>5100</v>
      </c>
      <c r="R12" s="296"/>
      <c r="S12" s="299"/>
      <c r="U12" s="111"/>
      <c r="V12" s="24"/>
      <c r="W12" s="24"/>
      <c r="X12" s="24"/>
      <c r="Y12" s="24"/>
      <c r="Z12" s="24"/>
      <c r="AA12" s="24"/>
      <c r="AB12" s="24"/>
      <c r="AC12" s="24"/>
      <c r="AD12" s="24"/>
      <c r="AE12" s="24"/>
      <c r="AF12" s="112"/>
    </row>
    <row r="13" spans="1:98" ht="15" customHeight="1" thickBot="1" x14ac:dyDescent="0.3">
      <c r="A13" s="65"/>
      <c r="B13" s="65"/>
      <c r="C13" s="65"/>
      <c r="D13" s="65"/>
      <c r="E13" s="65"/>
      <c r="F13" s="65"/>
      <c r="G13" s="65"/>
      <c r="H13" s="65"/>
      <c r="I13" s="65"/>
      <c r="J13" s="65"/>
      <c r="K13" s="65"/>
      <c r="L13" s="65"/>
      <c r="M13" s="65"/>
      <c r="N13" s="65"/>
      <c r="O13" s="65"/>
      <c r="P13" s="65"/>
      <c r="Q13" s="65"/>
      <c r="R13" s="65"/>
      <c r="S13" s="65"/>
    </row>
    <row r="14" spans="1:98" ht="15" customHeight="1" thickBot="1" x14ac:dyDescent="0.3">
      <c r="A14" s="275" t="s">
        <v>1386</v>
      </c>
      <c r="B14" s="276"/>
      <c r="C14" s="276"/>
      <c r="D14" s="276"/>
      <c r="E14" s="276"/>
      <c r="F14" s="276"/>
      <c r="G14" s="277"/>
      <c r="H14" s="278">
        <f>IF(SUM(V19:AA48)=0,"-",SUM(V19:AA48))</f>
        <v>180</v>
      </c>
      <c r="I14" s="264"/>
      <c r="J14" s="264"/>
      <c r="K14" s="264"/>
      <c r="L14" s="264"/>
      <c r="M14" s="264"/>
      <c r="N14" s="264"/>
      <c r="O14" s="264"/>
      <c r="P14" s="264"/>
      <c r="Q14" s="264"/>
      <c r="R14" s="264"/>
      <c r="S14" s="279"/>
      <c r="U14" s="68"/>
      <c r="V14" s="69"/>
      <c r="W14" s="69"/>
      <c r="X14" s="69"/>
      <c r="Y14" s="69"/>
      <c r="Z14" s="69"/>
      <c r="AA14" s="69"/>
      <c r="AB14" s="69"/>
      <c r="AC14" s="69"/>
      <c r="AD14" s="69"/>
      <c r="AE14" s="69"/>
      <c r="AF14" s="70"/>
    </row>
    <row r="15" spans="1:98" ht="15" customHeight="1" thickBot="1" x14ac:dyDescent="0.3">
      <c r="A15" s="275" t="s">
        <v>1385</v>
      </c>
      <c r="B15" s="276"/>
      <c r="C15" s="276"/>
      <c r="D15" s="276"/>
      <c r="E15" s="276"/>
      <c r="F15" s="276"/>
      <c r="G15" s="277"/>
      <c r="H15" s="280" t="str">
        <f ca="1">_xlfn.IFNA(INDEX(U2:AF3,1,MATCH(H14,U3:AF3,1)),"Trivial")</f>
        <v>Trivial</v>
      </c>
      <c r="I15" s="264"/>
      <c r="J15" s="264"/>
      <c r="K15" s="264"/>
      <c r="L15" s="264"/>
      <c r="M15" s="264"/>
      <c r="N15" s="264"/>
      <c r="O15" s="264"/>
      <c r="P15" s="264"/>
      <c r="Q15" s="264"/>
      <c r="R15" s="264"/>
      <c r="S15" s="279"/>
      <c r="U15" s="71"/>
      <c r="V15" s="72"/>
      <c r="W15" s="72"/>
      <c r="X15" s="72"/>
      <c r="Y15" s="72"/>
      <c r="Z15" s="72"/>
      <c r="AA15" s="72"/>
      <c r="AB15" s="72"/>
      <c r="AC15" s="72"/>
      <c r="AD15" s="72"/>
      <c r="AE15" s="72"/>
      <c r="AF15" s="73"/>
    </row>
    <row r="16" spans="1:98" ht="15" customHeight="1" thickBot="1" x14ac:dyDescent="0.3">
      <c r="A16" s="63"/>
      <c r="B16" s="61"/>
      <c r="C16" s="61"/>
      <c r="D16" s="61"/>
      <c r="E16" s="61"/>
      <c r="F16" s="61"/>
      <c r="G16" s="61"/>
      <c r="H16" s="61"/>
      <c r="I16" s="61"/>
      <c r="J16" s="61"/>
      <c r="K16" s="61"/>
      <c r="L16" s="61"/>
      <c r="M16" s="61"/>
      <c r="N16" s="61"/>
      <c r="O16" s="61"/>
      <c r="P16" s="61"/>
      <c r="Q16" s="61"/>
      <c r="R16" s="61"/>
      <c r="S16" s="61"/>
      <c r="T16" s="61"/>
      <c r="U16" s="61"/>
      <c r="V16" s="61"/>
      <c r="W16" s="61"/>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c r="CE16" s="61"/>
      <c r="CF16" s="61"/>
      <c r="CG16" s="61"/>
      <c r="CH16" s="61"/>
      <c r="CI16" s="61"/>
      <c r="CJ16" s="61"/>
      <c r="CK16" s="61"/>
      <c r="CL16" s="61"/>
      <c r="CM16" s="61"/>
      <c r="CN16" s="61"/>
      <c r="CO16" s="61"/>
      <c r="CP16" s="61"/>
      <c r="CQ16" s="61"/>
      <c r="CR16" s="61"/>
      <c r="CS16" s="61"/>
      <c r="CT16" s="62"/>
    </row>
    <row r="17" spans="1:32" ht="15" customHeight="1" thickBot="1" x14ac:dyDescent="0.3">
      <c r="A17" s="263" t="s">
        <v>1387</v>
      </c>
      <c r="B17" s="264"/>
      <c r="C17" s="264"/>
      <c r="D17" s="264"/>
      <c r="E17" s="264"/>
      <c r="F17" s="264"/>
      <c r="G17" s="264"/>
      <c r="H17" s="264"/>
      <c r="I17" s="264"/>
      <c r="J17" s="264"/>
      <c r="K17" s="265" t="s">
        <v>1388</v>
      </c>
      <c r="L17" s="266"/>
      <c r="M17" s="269" t="s">
        <v>6</v>
      </c>
      <c r="N17" s="270"/>
      <c r="O17" s="271"/>
      <c r="P17" s="240" t="s">
        <v>1389</v>
      </c>
      <c r="Q17" s="241"/>
      <c r="R17" s="241"/>
      <c r="S17" s="241"/>
      <c r="T17" s="241"/>
      <c r="U17" s="272"/>
      <c r="V17" s="273" t="s">
        <v>1390</v>
      </c>
      <c r="W17" s="274"/>
      <c r="X17" s="274"/>
      <c r="Y17" s="274"/>
      <c r="Z17" s="274"/>
      <c r="AA17" s="274"/>
      <c r="AB17" s="240" t="s">
        <v>1391</v>
      </c>
      <c r="AC17" s="241"/>
      <c r="AD17" s="241"/>
      <c r="AE17" s="241"/>
      <c r="AF17" s="242"/>
    </row>
    <row r="18" spans="1:32" ht="15" hidden="1" customHeight="1" thickBot="1" x14ac:dyDescent="0.3">
      <c r="A18" s="245" t="s">
        <v>1117</v>
      </c>
      <c r="B18" s="236"/>
      <c r="C18" s="236"/>
      <c r="D18" s="236"/>
      <c r="E18" s="236"/>
      <c r="F18" s="236"/>
      <c r="G18" s="236"/>
      <c r="H18" s="236"/>
      <c r="I18" s="236"/>
      <c r="J18" s="236"/>
      <c r="K18" s="19"/>
      <c r="L18" s="20"/>
      <c r="M18" s="235">
        <f>_xlfn.IFNA(INDEX(EncounterMultiplier[],MATCH(SUM(K19:L100),EncounterMultiplier[Enemies],1),2),1)</f>
        <v>2</v>
      </c>
      <c r="N18" s="236"/>
      <c r="O18" s="236"/>
      <c r="P18" s="236"/>
      <c r="Q18" s="236"/>
      <c r="R18" s="236"/>
      <c r="S18" s="236"/>
      <c r="T18" s="236"/>
      <c r="U18" s="236"/>
      <c r="V18" s="236"/>
      <c r="W18" s="236"/>
      <c r="X18" s="236"/>
      <c r="Y18" s="236"/>
      <c r="Z18" s="236"/>
      <c r="AA18" s="236"/>
      <c r="AB18" s="236"/>
      <c r="AC18" s="236"/>
      <c r="AD18" s="236"/>
      <c r="AE18" s="236"/>
      <c r="AF18" s="237"/>
    </row>
    <row r="19" spans="1:32" ht="15" customHeight="1" x14ac:dyDescent="0.25">
      <c r="A19" s="255" t="s">
        <v>815</v>
      </c>
      <c r="B19" s="256"/>
      <c r="C19" s="256"/>
      <c r="D19" s="256"/>
      <c r="E19" s="256"/>
      <c r="F19" s="256"/>
      <c r="G19" s="256"/>
      <c r="H19" s="256"/>
      <c r="I19" s="256"/>
      <c r="J19" s="256"/>
      <c r="K19" s="253">
        <v>4</v>
      </c>
      <c r="L19" s="254"/>
      <c r="M19" s="267">
        <f>_xlfn.IFNA(VLOOKUP(A19,Creatures[],5,FALSE),"-")</f>
        <v>0</v>
      </c>
      <c r="N19" s="268"/>
      <c r="O19" s="268"/>
      <c r="P19" s="246">
        <f>_xlfn.IFNA(VLOOKUP(M19,CREXP[],2,FALSE)*$M$18,"-")</f>
        <v>20</v>
      </c>
      <c r="Q19" s="246"/>
      <c r="R19" s="246"/>
      <c r="S19" s="246"/>
      <c r="T19" s="246"/>
      <c r="U19" s="246"/>
      <c r="V19" s="246">
        <f>IFERROR(P19*K19,"-")</f>
        <v>80</v>
      </c>
      <c r="W19" s="246"/>
      <c r="X19" s="246"/>
      <c r="Y19" s="246"/>
      <c r="Z19" s="246"/>
      <c r="AA19" s="246"/>
      <c r="AB19" s="243">
        <f>IFERROR(V19/$H$14,"-")</f>
        <v>0.44444444444444442</v>
      </c>
      <c r="AC19" s="243"/>
      <c r="AD19" s="243"/>
      <c r="AE19" s="243"/>
      <c r="AF19" s="244"/>
    </row>
    <row r="20" spans="1:32" ht="15" customHeight="1" x14ac:dyDescent="0.25">
      <c r="A20" s="247" t="s">
        <v>459</v>
      </c>
      <c r="B20" s="248"/>
      <c r="C20" s="248"/>
      <c r="D20" s="248"/>
      <c r="E20" s="248"/>
      <c r="F20" s="248"/>
      <c r="G20" s="248"/>
      <c r="H20" s="248"/>
      <c r="I20" s="248"/>
      <c r="J20" s="248"/>
      <c r="K20" s="249">
        <v>2</v>
      </c>
      <c r="L20" s="250"/>
      <c r="M20" s="251" t="str">
        <f>_xlfn.IFNA(VLOOKUP(A20,Creatures[],5,FALSE),"-")</f>
        <v>1/8</v>
      </c>
      <c r="N20" s="252"/>
      <c r="O20" s="252"/>
      <c r="P20" s="238">
        <f>_xlfn.IFNA(VLOOKUP(M20,CREXP[],2,FALSE)*$M$18,"-")</f>
        <v>50</v>
      </c>
      <c r="Q20" s="238"/>
      <c r="R20" s="238"/>
      <c r="S20" s="238"/>
      <c r="T20" s="238"/>
      <c r="U20" s="238"/>
      <c r="V20" s="238">
        <f t="shared" ref="V20:V48" si="0">IFERROR(P20*K20,"-")</f>
        <v>100</v>
      </c>
      <c r="W20" s="238"/>
      <c r="X20" s="238"/>
      <c r="Y20" s="238"/>
      <c r="Z20" s="238"/>
      <c r="AA20" s="238"/>
      <c r="AB20" s="231">
        <f>IFERROR(V20/$H$14,"-")</f>
        <v>0.55555555555555558</v>
      </c>
      <c r="AC20" s="231"/>
      <c r="AD20" s="231"/>
      <c r="AE20" s="231"/>
      <c r="AF20" s="232"/>
    </row>
    <row r="21" spans="1:32" ht="15" customHeight="1" x14ac:dyDescent="0.25">
      <c r="A21" s="247"/>
      <c r="B21" s="248"/>
      <c r="C21" s="248"/>
      <c r="D21" s="248"/>
      <c r="E21" s="248"/>
      <c r="F21" s="248"/>
      <c r="G21" s="248"/>
      <c r="H21" s="248"/>
      <c r="I21" s="248"/>
      <c r="J21" s="248"/>
      <c r="K21" s="249"/>
      <c r="L21" s="250"/>
      <c r="M21" s="251" t="str">
        <f>_xlfn.IFNA(VLOOKUP(A21,Creatures[],5,FALSE),"-")</f>
        <v>-</v>
      </c>
      <c r="N21" s="252"/>
      <c r="O21" s="252"/>
      <c r="P21" s="238" t="str">
        <f>_xlfn.IFNA(VLOOKUP(M21,CREXP[],2,FALSE)*$M$18,"-")</f>
        <v>-</v>
      </c>
      <c r="Q21" s="238"/>
      <c r="R21" s="238"/>
      <c r="S21" s="238"/>
      <c r="T21" s="238"/>
      <c r="U21" s="238"/>
      <c r="V21" s="238" t="str">
        <f t="shared" si="0"/>
        <v>-</v>
      </c>
      <c r="W21" s="238"/>
      <c r="X21" s="238"/>
      <c r="Y21" s="238"/>
      <c r="Z21" s="238"/>
      <c r="AA21" s="238"/>
      <c r="AB21" s="231" t="str">
        <f>IFERROR(V21/$H$14,"-")</f>
        <v>-</v>
      </c>
      <c r="AC21" s="231"/>
      <c r="AD21" s="231"/>
      <c r="AE21" s="231"/>
      <c r="AF21" s="232"/>
    </row>
    <row r="22" spans="1:32" ht="15" customHeight="1" x14ac:dyDescent="0.25">
      <c r="A22" s="247"/>
      <c r="B22" s="248"/>
      <c r="C22" s="248"/>
      <c r="D22" s="248"/>
      <c r="E22" s="248"/>
      <c r="F22" s="248"/>
      <c r="G22" s="248"/>
      <c r="H22" s="248"/>
      <c r="I22" s="248"/>
      <c r="J22" s="248"/>
      <c r="K22" s="249"/>
      <c r="L22" s="250"/>
      <c r="M22" s="251" t="str">
        <f>_xlfn.IFNA(VLOOKUP(A22,Creatures[],5,FALSE),"-")</f>
        <v>-</v>
      </c>
      <c r="N22" s="252"/>
      <c r="O22" s="252"/>
      <c r="P22" s="238" t="str">
        <f>_xlfn.IFNA(VLOOKUP(M22,CREXP[],2,FALSE)*$M$18,"-")</f>
        <v>-</v>
      </c>
      <c r="Q22" s="238"/>
      <c r="R22" s="238"/>
      <c r="S22" s="238"/>
      <c r="T22" s="238"/>
      <c r="U22" s="238"/>
      <c r="V22" s="238" t="str">
        <f t="shared" si="0"/>
        <v>-</v>
      </c>
      <c r="W22" s="238"/>
      <c r="X22" s="238"/>
      <c r="Y22" s="238"/>
      <c r="Z22" s="238"/>
      <c r="AA22" s="238"/>
      <c r="AB22" s="231" t="str">
        <f t="shared" ref="AB22:AB48" si="1">IFERROR(V22/$H$14,"-")</f>
        <v>-</v>
      </c>
      <c r="AC22" s="231"/>
      <c r="AD22" s="231"/>
      <c r="AE22" s="231"/>
      <c r="AF22" s="232"/>
    </row>
    <row r="23" spans="1:32" ht="15" customHeight="1" x14ac:dyDescent="0.25">
      <c r="A23" s="247"/>
      <c r="B23" s="248"/>
      <c r="C23" s="248"/>
      <c r="D23" s="248"/>
      <c r="E23" s="248"/>
      <c r="F23" s="248"/>
      <c r="G23" s="248"/>
      <c r="H23" s="248"/>
      <c r="I23" s="248"/>
      <c r="J23" s="248"/>
      <c r="K23" s="249"/>
      <c r="L23" s="250"/>
      <c r="M23" s="251" t="str">
        <f>_xlfn.IFNA(VLOOKUP(A23,Creatures[],5,FALSE),"-")</f>
        <v>-</v>
      </c>
      <c r="N23" s="252"/>
      <c r="O23" s="252"/>
      <c r="P23" s="238" t="str">
        <f>_xlfn.IFNA(VLOOKUP(M23,CREXP[],2,FALSE)*$M$18,"-")</f>
        <v>-</v>
      </c>
      <c r="Q23" s="238"/>
      <c r="R23" s="238"/>
      <c r="S23" s="238"/>
      <c r="T23" s="238"/>
      <c r="U23" s="238"/>
      <c r="V23" s="238" t="str">
        <f t="shared" si="0"/>
        <v>-</v>
      </c>
      <c r="W23" s="238"/>
      <c r="X23" s="238"/>
      <c r="Y23" s="238"/>
      <c r="Z23" s="238"/>
      <c r="AA23" s="238"/>
      <c r="AB23" s="231" t="str">
        <f t="shared" si="1"/>
        <v>-</v>
      </c>
      <c r="AC23" s="231"/>
      <c r="AD23" s="231"/>
      <c r="AE23" s="231"/>
      <c r="AF23" s="232"/>
    </row>
    <row r="24" spans="1:32" ht="15" customHeight="1" x14ac:dyDescent="0.25">
      <c r="A24" s="247"/>
      <c r="B24" s="248"/>
      <c r="C24" s="248"/>
      <c r="D24" s="248"/>
      <c r="E24" s="248"/>
      <c r="F24" s="248"/>
      <c r="G24" s="248"/>
      <c r="H24" s="248"/>
      <c r="I24" s="248"/>
      <c r="J24" s="248"/>
      <c r="K24" s="249"/>
      <c r="L24" s="250"/>
      <c r="M24" s="251" t="str">
        <f>_xlfn.IFNA(VLOOKUP(A24,Creatures[],5,FALSE),"-")</f>
        <v>-</v>
      </c>
      <c r="N24" s="252"/>
      <c r="O24" s="252"/>
      <c r="P24" s="238" t="str">
        <f>_xlfn.IFNA(VLOOKUP(M24,CREXP[],2,FALSE)*$M$18,"-")</f>
        <v>-</v>
      </c>
      <c r="Q24" s="238"/>
      <c r="R24" s="238"/>
      <c r="S24" s="238"/>
      <c r="T24" s="238"/>
      <c r="U24" s="238"/>
      <c r="V24" s="238" t="str">
        <f t="shared" si="0"/>
        <v>-</v>
      </c>
      <c r="W24" s="238"/>
      <c r="X24" s="238"/>
      <c r="Y24" s="238"/>
      <c r="Z24" s="238"/>
      <c r="AA24" s="238"/>
      <c r="AB24" s="231" t="str">
        <f t="shared" si="1"/>
        <v>-</v>
      </c>
      <c r="AC24" s="231"/>
      <c r="AD24" s="231"/>
      <c r="AE24" s="231"/>
      <c r="AF24" s="232"/>
    </row>
    <row r="25" spans="1:32" ht="15" customHeight="1" x14ac:dyDescent="0.25">
      <c r="A25" s="247"/>
      <c r="B25" s="248"/>
      <c r="C25" s="248"/>
      <c r="D25" s="248"/>
      <c r="E25" s="248"/>
      <c r="F25" s="248"/>
      <c r="G25" s="248"/>
      <c r="H25" s="248"/>
      <c r="I25" s="248"/>
      <c r="J25" s="248"/>
      <c r="K25" s="249"/>
      <c r="L25" s="250"/>
      <c r="M25" s="251" t="str">
        <f>_xlfn.IFNA(VLOOKUP(A25,Creatures[],5,FALSE),"-")</f>
        <v>-</v>
      </c>
      <c r="N25" s="252"/>
      <c r="O25" s="252"/>
      <c r="P25" s="238" t="str">
        <f>_xlfn.IFNA(VLOOKUP(M25,CREXP[],2,FALSE)*$M$18,"-")</f>
        <v>-</v>
      </c>
      <c r="Q25" s="238"/>
      <c r="R25" s="238"/>
      <c r="S25" s="238"/>
      <c r="T25" s="238"/>
      <c r="U25" s="238"/>
      <c r="V25" s="238" t="str">
        <f t="shared" si="0"/>
        <v>-</v>
      </c>
      <c r="W25" s="238"/>
      <c r="X25" s="238"/>
      <c r="Y25" s="238"/>
      <c r="Z25" s="238"/>
      <c r="AA25" s="238"/>
      <c r="AB25" s="231" t="str">
        <f t="shared" si="1"/>
        <v>-</v>
      </c>
      <c r="AC25" s="231"/>
      <c r="AD25" s="231"/>
      <c r="AE25" s="231"/>
      <c r="AF25" s="232"/>
    </row>
    <row r="26" spans="1:32" ht="15" customHeight="1" x14ac:dyDescent="0.25">
      <c r="A26" s="247"/>
      <c r="B26" s="248"/>
      <c r="C26" s="248"/>
      <c r="D26" s="248"/>
      <c r="E26" s="248"/>
      <c r="F26" s="248"/>
      <c r="G26" s="248"/>
      <c r="H26" s="248"/>
      <c r="I26" s="248"/>
      <c r="J26" s="248"/>
      <c r="K26" s="249"/>
      <c r="L26" s="250"/>
      <c r="M26" s="251" t="str">
        <f>_xlfn.IFNA(VLOOKUP(A26,Creatures[],5,FALSE),"-")</f>
        <v>-</v>
      </c>
      <c r="N26" s="252"/>
      <c r="O26" s="252"/>
      <c r="P26" s="238" t="str">
        <f>_xlfn.IFNA(VLOOKUP(M26,CREXP[],2,FALSE)*$M$18,"-")</f>
        <v>-</v>
      </c>
      <c r="Q26" s="238"/>
      <c r="R26" s="238"/>
      <c r="S26" s="238"/>
      <c r="T26" s="238"/>
      <c r="U26" s="238"/>
      <c r="V26" s="238" t="str">
        <f t="shared" si="0"/>
        <v>-</v>
      </c>
      <c r="W26" s="238"/>
      <c r="X26" s="238"/>
      <c r="Y26" s="238"/>
      <c r="Z26" s="238"/>
      <c r="AA26" s="238"/>
      <c r="AB26" s="231" t="str">
        <f t="shared" si="1"/>
        <v>-</v>
      </c>
      <c r="AC26" s="231"/>
      <c r="AD26" s="231"/>
      <c r="AE26" s="231"/>
      <c r="AF26" s="232"/>
    </row>
    <row r="27" spans="1:32" ht="15" customHeight="1" x14ac:dyDescent="0.25">
      <c r="A27" s="247"/>
      <c r="B27" s="248"/>
      <c r="C27" s="248"/>
      <c r="D27" s="248"/>
      <c r="E27" s="248"/>
      <c r="F27" s="248"/>
      <c r="G27" s="248"/>
      <c r="H27" s="248"/>
      <c r="I27" s="248"/>
      <c r="J27" s="248"/>
      <c r="K27" s="249"/>
      <c r="L27" s="250"/>
      <c r="M27" s="251" t="str">
        <f>_xlfn.IFNA(VLOOKUP(A27,Creatures[],5,FALSE),"-")</f>
        <v>-</v>
      </c>
      <c r="N27" s="252"/>
      <c r="O27" s="252"/>
      <c r="P27" s="238" t="str">
        <f>_xlfn.IFNA(VLOOKUP(M27,CREXP[],2,FALSE)*$M$18,"-")</f>
        <v>-</v>
      </c>
      <c r="Q27" s="238"/>
      <c r="R27" s="238"/>
      <c r="S27" s="238"/>
      <c r="T27" s="238"/>
      <c r="U27" s="238"/>
      <c r="V27" s="238" t="str">
        <f t="shared" si="0"/>
        <v>-</v>
      </c>
      <c r="W27" s="238"/>
      <c r="X27" s="238"/>
      <c r="Y27" s="238"/>
      <c r="Z27" s="238"/>
      <c r="AA27" s="238"/>
      <c r="AB27" s="231" t="str">
        <f t="shared" si="1"/>
        <v>-</v>
      </c>
      <c r="AC27" s="231"/>
      <c r="AD27" s="231"/>
      <c r="AE27" s="231"/>
      <c r="AF27" s="232"/>
    </row>
    <row r="28" spans="1:32" ht="15" customHeight="1" x14ac:dyDescent="0.25">
      <c r="A28" s="247"/>
      <c r="B28" s="248"/>
      <c r="C28" s="248"/>
      <c r="D28" s="248"/>
      <c r="E28" s="248"/>
      <c r="F28" s="248"/>
      <c r="G28" s="248"/>
      <c r="H28" s="248"/>
      <c r="I28" s="248"/>
      <c r="J28" s="248"/>
      <c r="K28" s="249"/>
      <c r="L28" s="250"/>
      <c r="M28" s="251" t="str">
        <f>_xlfn.IFNA(VLOOKUP(A28,Creatures[],5,FALSE),"-")</f>
        <v>-</v>
      </c>
      <c r="N28" s="252"/>
      <c r="O28" s="252"/>
      <c r="P28" s="238" t="str">
        <f>_xlfn.IFNA(VLOOKUP(M28,CREXP[],2,FALSE)*$M$18,"-")</f>
        <v>-</v>
      </c>
      <c r="Q28" s="238"/>
      <c r="R28" s="238"/>
      <c r="S28" s="238"/>
      <c r="T28" s="238"/>
      <c r="U28" s="238"/>
      <c r="V28" s="238" t="str">
        <f t="shared" si="0"/>
        <v>-</v>
      </c>
      <c r="W28" s="238"/>
      <c r="X28" s="238"/>
      <c r="Y28" s="238"/>
      <c r="Z28" s="238"/>
      <c r="AA28" s="238"/>
      <c r="AB28" s="231" t="str">
        <f t="shared" si="1"/>
        <v>-</v>
      </c>
      <c r="AC28" s="231"/>
      <c r="AD28" s="231"/>
      <c r="AE28" s="231"/>
      <c r="AF28" s="232"/>
    </row>
    <row r="29" spans="1:32" ht="15" customHeight="1" x14ac:dyDescent="0.25">
      <c r="A29" s="247"/>
      <c r="B29" s="248"/>
      <c r="C29" s="248"/>
      <c r="D29" s="248"/>
      <c r="E29" s="248"/>
      <c r="F29" s="248"/>
      <c r="G29" s="248"/>
      <c r="H29" s="248"/>
      <c r="I29" s="248"/>
      <c r="J29" s="248"/>
      <c r="K29" s="249"/>
      <c r="L29" s="250"/>
      <c r="M29" s="251" t="str">
        <f>_xlfn.IFNA(VLOOKUP(A29,Creatures[],5,FALSE),"-")</f>
        <v>-</v>
      </c>
      <c r="N29" s="252"/>
      <c r="O29" s="252"/>
      <c r="P29" s="238" t="str">
        <f>_xlfn.IFNA(VLOOKUP(M29,CREXP[],2,FALSE)*$M$18,"-")</f>
        <v>-</v>
      </c>
      <c r="Q29" s="238"/>
      <c r="R29" s="238"/>
      <c r="S29" s="238"/>
      <c r="T29" s="238"/>
      <c r="U29" s="238"/>
      <c r="V29" s="238" t="str">
        <f t="shared" si="0"/>
        <v>-</v>
      </c>
      <c r="W29" s="238"/>
      <c r="X29" s="238"/>
      <c r="Y29" s="238"/>
      <c r="Z29" s="238"/>
      <c r="AA29" s="238"/>
      <c r="AB29" s="231" t="str">
        <f t="shared" si="1"/>
        <v>-</v>
      </c>
      <c r="AC29" s="231"/>
      <c r="AD29" s="231"/>
      <c r="AE29" s="231"/>
      <c r="AF29" s="232"/>
    </row>
    <row r="30" spans="1:32" ht="15" customHeight="1" x14ac:dyDescent="0.25">
      <c r="A30" s="247"/>
      <c r="B30" s="248"/>
      <c r="C30" s="248"/>
      <c r="D30" s="248"/>
      <c r="E30" s="248"/>
      <c r="F30" s="248"/>
      <c r="G30" s="248"/>
      <c r="H30" s="248"/>
      <c r="I30" s="248"/>
      <c r="J30" s="248"/>
      <c r="K30" s="249"/>
      <c r="L30" s="250"/>
      <c r="M30" s="251" t="str">
        <f>_xlfn.IFNA(VLOOKUP(A30,Creatures[],5,FALSE),"-")</f>
        <v>-</v>
      </c>
      <c r="N30" s="252"/>
      <c r="O30" s="252"/>
      <c r="P30" s="238" t="str">
        <f>_xlfn.IFNA(VLOOKUP(M30,CREXP[],2,FALSE)*$M$18,"-")</f>
        <v>-</v>
      </c>
      <c r="Q30" s="238"/>
      <c r="R30" s="238"/>
      <c r="S30" s="238"/>
      <c r="T30" s="238"/>
      <c r="U30" s="238"/>
      <c r="V30" s="238" t="str">
        <f t="shared" si="0"/>
        <v>-</v>
      </c>
      <c r="W30" s="238"/>
      <c r="X30" s="238"/>
      <c r="Y30" s="238"/>
      <c r="Z30" s="238"/>
      <c r="AA30" s="238"/>
      <c r="AB30" s="231" t="str">
        <f t="shared" si="1"/>
        <v>-</v>
      </c>
      <c r="AC30" s="231"/>
      <c r="AD30" s="231"/>
      <c r="AE30" s="231"/>
      <c r="AF30" s="232"/>
    </row>
    <row r="31" spans="1:32" ht="15" customHeight="1" x14ac:dyDescent="0.25">
      <c r="A31" s="247"/>
      <c r="B31" s="248"/>
      <c r="C31" s="248"/>
      <c r="D31" s="248"/>
      <c r="E31" s="248"/>
      <c r="F31" s="248"/>
      <c r="G31" s="248"/>
      <c r="H31" s="248"/>
      <c r="I31" s="248"/>
      <c r="J31" s="248"/>
      <c r="K31" s="249"/>
      <c r="L31" s="250"/>
      <c r="M31" s="251" t="str">
        <f>_xlfn.IFNA(VLOOKUP(A31,Creatures[],5,FALSE),"-")</f>
        <v>-</v>
      </c>
      <c r="N31" s="252"/>
      <c r="O31" s="252"/>
      <c r="P31" s="238" t="str">
        <f>_xlfn.IFNA(VLOOKUP(M31,CREXP[],2,FALSE)*$M$18,"-")</f>
        <v>-</v>
      </c>
      <c r="Q31" s="238"/>
      <c r="R31" s="238"/>
      <c r="S31" s="238"/>
      <c r="T31" s="238"/>
      <c r="U31" s="238"/>
      <c r="V31" s="238" t="str">
        <f t="shared" si="0"/>
        <v>-</v>
      </c>
      <c r="W31" s="238"/>
      <c r="X31" s="238"/>
      <c r="Y31" s="238"/>
      <c r="Z31" s="238"/>
      <c r="AA31" s="238"/>
      <c r="AB31" s="231" t="str">
        <f t="shared" si="1"/>
        <v>-</v>
      </c>
      <c r="AC31" s="231"/>
      <c r="AD31" s="231"/>
      <c r="AE31" s="231"/>
      <c r="AF31" s="232"/>
    </row>
    <row r="32" spans="1:32" ht="15" customHeight="1" x14ac:dyDescent="0.25">
      <c r="A32" s="247"/>
      <c r="B32" s="248"/>
      <c r="C32" s="248"/>
      <c r="D32" s="248"/>
      <c r="E32" s="248"/>
      <c r="F32" s="248"/>
      <c r="G32" s="248"/>
      <c r="H32" s="248"/>
      <c r="I32" s="248"/>
      <c r="J32" s="248"/>
      <c r="K32" s="249"/>
      <c r="L32" s="250"/>
      <c r="M32" s="251" t="str">
        <f>_xlfn.IFNA(VLOOKUP(A32,Creatures[],5,FALSE),"-")</f>
        <v>-</v>
      </c>
      <c r="N32" s="252"/>
      <c r="O32" s="252"/>
      <c r="P32" s="238" t="str">
        <f>_xlfn.IFNA(VLOOKUP(M32,CREXP[],2,FALSE)*$M$18,"-")</f>
        <v>-</v>
      </c>
      <c r="Q32" s="238"/>
      <c r="R32" s="238"/>
      <c r="S32" s="238"/>
      <c r="T32" s="238"/>
      <c r="U32" s="238"/>
      <c r="V32" s="238" t="str">
        <f t="shared" si="0"/>
        <v>-</v>
      </c>
      <c r="W32" s="238"/>
      <c r="X32" s="238"/>
      <c r="Y32" s="238"/>
      <c r="Z32" s="238"/>
      <c r="AA32" s="238"/>
      <c r="AB32" s="231" t="str">
        <f t="shared" si="1"/>
        <v>-</v>
      </c>
      <c r="AC32" s="231"/>
      <c r="AD32" s="231"/>
      <c r="AE32" s="231"/>
      <c r="AF32" s="232"/>
    </row>
    <row r="33" spans="1:32" ht="15" customHeight="1" x14ac:dyDescent="0.25">
      <c r="A33" s="247"/>
      <c r="B33" s="248"/>
      <c r="C33" s="248"/>
      <c r="D33" s="248"/>
      <c r="E33" s="248"/>
      <c r="F33" s="248"/>
      <c r="G33" s="248"/>
      <c r="H33" s="248"/>
      <c r="I33" s="248"/>
      <c r="J33" s="248"/>
      <c r="K33" s="249"/>
      <c r="L33" s="250"/>
      <c r="M33" s="251" t="str">
        <f>_xlfn.IFNA(VLOOKUP(A33,Creatures[],5,FALSE),"-")</f>
        <v>-</v>
      </c>
      <c r="N33" s="252"/>
      <c r="O33" s="252"/>
      <c r="P33" s="238" t="str">
        <f>_xlfn.IFNA(VLOOKUP(M33,CREXP[],2,FALSE)*$M$18,"-")</f>
        <v>-</v>
      </c>
      <c r="Q33" s="238"/>
      <c r="R33" s="238"/>
      <c r="S33" s="238"/>
      <c r="T33" s="238"/>
      <c r="U33" s="238"/>
      <c r="V33" s="238" t="str">
        <f t="shared" si="0"/>
        <v>-</v>
      </c>
      <c r="W33" s="238"/>
      <c r="X33" s="238"/>
      <c r="Y33" s="238"/>
      <c r="Z33" s="238"/>
      <c r="AA33" s="238"/>
      <c r="AB33" s="231" t="str">
        <f t="shared" si="1"/>
        <v>-</v>
      </c>
      <c r="AC33" s="231"/>
      <c r="AD33" s="231"/>
      <c r="AE33" s="231"/>
      <c r="AF33" s="232"/>
    </row>
    <row r="34" spans="1:32" ht="15" customHeight="1" x14ac:dyDescent="0.25">
      <c r="A34" s="247"/>
      <c r="B34" s="248"/>
      <c r="C34" s="248"/>
      <c r="D34" s="248"/>
      <c r="E34" s="248"/>
      <c r="F34" s="248"/>
      <c r="G34" s="248"/>
      <c r="H34" s="248"/>
      <c r="I34" s="248"/>
      <c r="J34" s="248"/>
      <c r="K34" s="249"/>
      <c r="L34" s="250"/>
      <c r="M34" s="251" t="str">
        <f>_xlfn.IFNA(VLOOKUP(A34,Creatures[],5,FALSE),"-")</f>
        <v>-</v>
      </c>
      <c r="N34" s="252"/>
      <c r="O34" s="252"/>
      <c r="P34" s="238" t="str">
        <f>_xlfn.IFNA(VLOOKUP(M34,CREXP[],2,FALSE)*$M$18,"-")</f>
        <v>-</v>
      </c>
      <c r="Q34" s="238"/>
      <c r="R34" s="238"/>
      <c r="S34" s="238"/>
      <c r="T34" s="238"/>
      <c r="U34" s="238"/>
      <c r="V34" s="238" t="str">
        <f t="shared" si="0"/>
        <v>-</v>
      </c>
      <c r="W34" s="238"/>
      <c r="X34" s="238"/>
      <c r="Y34" s="238"/>
      <c r="Z34" s="238"/>
      <c r="AA34" s="238"/>
      <c r="AB34" s="231" t="str">
        <f t="shared" si="1"/>
        <v>-</v>
      </c>
      <c r="AC34" s="231"/>
      <c r="AD34" s="231"/>
      <c r="AE34" s="231"/>
      <c r="AF34" s="232"/>
    </row>
    <row r="35" spans="1:32" ht="15" customHeight="1" x14ac:dyDescent="0.25">
      <c r="A35" s="247"/>
      <c r="B35" s="248"/>
      <c r="C35" s="248"/>
      <c r="D35" s="248"/>
      <c r="E35" s="248"/>
      <c r="F35" s="248"/>
      <c r="G35" s="248"/>
      <c r="H35" s="248"/>
      <c r="I35" s="248"/>
      <c r="J35" s="248"/>
      <c r="K35" s="249"/>
      <c r="L35" s="250"/>
      <c r="M35" s="251" t="str">
        <f>_xlfn.IFNA(VLOOKUP(A35,Creatures[],5,FALSE),"-")</f>
        <v>-</v>
      </c>
      <c r="N35" s="252"/>
      <c r="O35" s="252"/>
      <c r="P35" s="238" t="str">
        <f>_xlfn.IFNA(VLOOKUP(M35,CREXP[],2,FALSE)*$M$18,"-")</f>
        <v>-</v>
      </c>
      <c r="Q35" s="238"/>
      <c r="R35" s="238"/>
      <c r="S35" s="238"/>
      <c r="T35" s="238"/>
      <c r="U35" s="238"/>
      <c r="V35" s="238" t="str">
        <f t="shared" si="0"/>
        <v>-</v>
      </c>
      <c r="W35" s="238"/>
      <c r="X35" s="238"/>
      <c r="Y35" s="238"/>
      <c r="Z35" s="238"/>
      <c r="AA35" s="238"/>
      <c r="AB35" s="231" t="str">
        <f t="shared" si="1"/>
        <v>-</v>
      </c>
      <c r="AC35" s="231"/>
      <c r="AD35" s="231"/>
      <c r="AE35" s="231"/>
      <c r="AF35" s="232"/>
    </row>
    <row r="36" spans="1:32" ht="15" customHeight="1" x14ac:dyDescent="0.25">
      <c r="A36" s="247"/>
      <c r="B36" s="248"/>
      <c r="C36" s="248"/>
      <c r="D36" s="248"/>
      <c r="E36" s="248"/>
      <c r="F36" s="248"/>
      <c r="G36" s="248"/>
      <c r="H36" s="248"/>
      <c r="I36" s="248"/>
      <c r="J36" s="248"/>
      <c r="K36" s="249"/>
      <c r="L36" s="250"/>
      <c r="M36" s="251" t="str">
        <f>_xlfn.IFNA(VLOOKUP(A36,Creatures[],5,FALSE),"-")</f>
        <v>-</v>
      </c>
      <c r="N36" s="252"/>
      <c r="O36" s="252"/>
      <c r="P36" s="238" t="str">
        <f>_xlfn.IFNA(VLOOKUP(M36,CREXP[],2,FALSE)*$M$18,"-")</f>
        <v>-</v>
      </c>
      <c r="Q36" s="238"/>
      <c r="R36" s="238"/>
      <c r="S36" s="238"/>
      <c r="T36" s="238"/>
      <c r="U36" s="238"/>
      <c r="V36" s="238" t="str">
        <f t="shared" si="0"/>
        <v>-</v>
      </c>
      <c r="W36" s="238"/>
      <c r="X36" s="238"/>
      <c r="Y36" s="238"/>
      <c r="Z36" s="238"/>
      <c r="AA36" s="238"/>
      <c r="AB36" s="231" t="str">
        <f t="shared" si="1"/>
        <v>-</v>
      </c>
      <c r="AC36" s="231"/>
      <c r="AD36" s="231"/>
      <c r="AE36" s="231"/>
      <c r="AF36" s="232"/>
    </row>
    <row r="37" spans="1:32" ht="15" customHeight="1" x14ac:dyDescent="0.25">
      <c r="A37" s="247"/>
      <c r="B37" s="248"/>
      <c r="C37" s="248"/>
      <c r="D37" s="248"/>
      <c r="E37" s="248"/>
      <c r="F37" s="248"/>
      <c r="G37" s="248"/>
      <c r="H37" s="248"/>
      <c r="I37" s="248"/>
      <c r="J37" s="248"/>
      <c r="K37" s="249"/>
      <c r="L37" s="250"/>
      <c r="M37" s="251" t="str">
        <f>_xlfn.IFNA(VLOOKUP(A37,Creatures[],5,FALSE),"-")</f>
        <v>-</v>
      </c>
      <c r="N37" s="252"/>
      <c r="O37" s="252"/>
      <c r="P37" s="238" t="str">
        <f>_xlfn.IFNA(VLOOKUP(M37,CREXP[],2,FALSE)*$M$18,"-")</f>
        <v>-</v>
      </c>
      <c r="Q37" s="238"/>
      <c r="R37" s="238"/>
      <c r="S37" s="238"/>
      <c r="T37" s="238"/>
      <c r="U37" s="238"/>
      <c r="V37" s="238" t="str">
        <f t="shared" si="0"/>
        <v>-</v>
      </c>
      <c r="W37" s="238"/>
      <c r="X37" s="238"/>
      <c r="Y37" s="238"/>
      <c r="Z37" s="238"/>
      <c r="AA37" s="238"/>
      <c r="AB37" s="231" t="str">
        <f t="shared" si="1"/>
        <v>-</v>
      </c>
      <c r="AC37" s="231"/>
      <c r="AD37" s="231"/>
      <c r="AE37" s="231"/>
      <c r="AF37" s="232"/>
    </row>
    <row r="38" spans="1:32" ht="15" customHeight="1" x14ac:dyDescent="0.25">
      <c r="A38" s="247"/>
      <c r="B38" s="248"/>
      <c r="C38" s="248"/>
      <c r="D38" s="248"/>
      <c r="E38" s="248"/>
      <c r="F38" s="248"/>
      <c r="G38" s="248"/>
      <c r="H38" s="248"/>
      <c r="I38" s="248"/>
      <c r="J38" s="248"/>
      <c r="K38" s="249"/>
      <c r="L38" s="250"/>
      <c r="M38" s="251" t="str">
        <f>_xlfn.IFNA(VLOOKUP(A38,Creatures[],5,FALSE),"-")</f>
        <v>-</v>
      </c>
      <c r="N38" s="252"/>
      <c r="O38" s="252"/>
      <c r="P38" s="238" t="str">
        <f>_xlfn.IFNA(VLOOKUP(M38,CREXP[],2,FALSE)*$M$18,"-")</f>
        <v>-</v>
      </c>
      <c r="Q38" s="238"/>
      <c r="R38" s="238"/>
      <c r="S38" s="238"/>
      <c r="T38" s="238"/>
      <c r="U38" s="238"/>
      <c r="V38" s="238" t="str">
        <f t="shared" si="0"/>
        <v>-</v>
      </c>
      <c r="W38" s="238"/>
      <c r="X38" s="238"/>
      <c r="Y38" s="238"/>
      <c r="Z38" s="238"/>
      <c r="AA38" s="238"/>
      <c r="AB38" s="231" t="str">
        <f t="shared" si="1"/>
        <v>-</v>
      </c>
      <c r="AC38" s="231"/>
      <c r="AD38" s="231"/>
      <c r="AE38" s="231"/>
      <c r="AF38" s="232"/>
    </row>
    <row r="39" spans="1:32" ht="15" customHeight="1" x14ac:dyDescent="0.25">
      <c r="A39" s="247"/>
      <c r="B39" s="248"/>
      <c r="C39" s="248"/>
      <c r="D39" s="248"/>
      <c r="E39" s="248"/>
      <c r="F39" s="248"/>
      <c r="G39" s="248"/>
      <c r="H39" s="248"/>
      <c r="I39" s="248"/>
      <c r="J39" s="248"/>
      <c r="K39" s="249"/>
      <c r="L39" s="250"/>
      <c r="M39" s="251" t="str">
        <f>_xlfn.IFNA(VLOOKUP(A39,Creatures[],5,FALSE),"-")</f>
        <v>-</v>
      </c>
      <c r="N39" s="252"/>
      <c r="O39" s="252"/>
      <c r="P39" s="238" t="str">
        <f>_xlfn.IFNA(VLOOKUP(M39,CREXP[],2,FALSE)*$M$18,"-")</f>
        <v>-</v>
      </c>
      <c r="Q39" s="238"/>
      <c r="R39" s="238"/>
      <c r="S39" s="238"/>
      <c r="T39" s="238"/>
      <c r="U39" s="238"/>
      <c r="V39" s="238" t="str">
        <f t="shared" si="0"/>
        <v>-</v>
      </c>
      <c r="W39" s="238"/>
      <c r="X39" s="238"/>
      <c r="Y39" s="238"/>
      <c r="Z39" s="238"/>
      <c r="AA39" s="238"/>
      <c r="AB39" s="231" t="str">
        <f t="shared" si="1"/>
        <v>-</v>
      </c>
      <c r="AC39" s="231"/>
      <c r="AD39" s="231"/>
      <c r="AE39" s="231"/>
      <c r="AF39" s="232"/>
    </row>
    <row r="40" spans="1:32" ht="15" customHeight="1" x14ac:dyDescent="0.25">
      <c r="A40" s="247"/>
      <c r="B40" s="248"/>
      <c r="C40" s="248"/>
      <c r="D40" s="248"/>
      <c r="E40" s="248"/>
      <c r="F40" s="248"/>
      <c r="G40" s="248"/>
      <c r="H40" s="248"/>
      <c r="I40" s="248"/>
      <c r="J40" s="248"/>
      <c r="K40" s="249"/>
      <c r="L40" s="250"/>
      <c r="M40" s="251" t="str">
        <f>_xlfn.IFNA(VLOOKUP(A40,Creatures[],5,FALSE),"-")</f>
        <v>-</v>
      </c>
      <c r="N40" s="252"/>
      <c r="O40" s="252"/>
      <c r="P40" s="238" t="str">
        <f>_xlfn.IFNA(VLOOKUP(M40,CREXP[],2,FALSE)*$M$18,"-")</f>
        <v>-</v>
      </c>
      <c r="Q40" s="238"/>
      <c r="R40" s="238"/>
      <c r="S40" s="238"/>
      <c r="T40" s="238"/>
      <c r="U40" s="238"/>
      <c r="V40" s="238" t="str">
        <f t="shared" si="0"/>
        <v>-</v>
      </c>
      <c r="W40" s="238"/>
      <c r="X40" s="238"/>
      <c r="Y40" s="238"/>
      <c r="Z40" s="238"/>
      <c r="AA40" s="238"/>
      <c r="AB40" s="231" t="str">
        <f t="shared" si="1"/>
        <v>-</v>
      </c>
      <c r="AC40" s="231"/>
      <c r="AD40" s="231"/>
      <c r="AE40" s="231"/>
      <c r="AF40" s="232"/>
    </row>
    <row r="41" spans="1:32" ht="15" customHeight="1" x14ac:dyDescent="0.25">
      <c r="A41" s="247"/>
      <c r="B41" s="248"/>
      <c r="C41" s="248"/>
      <c r="D41" s="248"/>
      <c r="E41" s="248"/>
      <c r="F41" s="248"/>
      <c r="G41" s="248"/>
      <c r="H41" s="248"/>
      <c r="I41" s="248"/>
      <c r="J41" s="248"/>
      <c r="K41" s="249"/>
      <c r="L41" s="250"/>
      <c r="M41" s="251" t="str">
        <f>_xlfn.IFNA(VLOOKUP(A41,Creatures[],5,FALSE),"-")</f>
        <v>-</v>
      </c>
      <c r="N41" s="252"/>
      <c r="O41" s="252"/>
      <c r="P41" s="238" t="str">
        <f>_xlfn.IFNA(VLOOKUP(M41,CREXP[],2,FALSE)*$M$18,"-")</f>
        <v>-</v>
      </c>
      <c r="Q41" s="238"/>
      <c r="R41" s="238"/>
      <c r="S41" s="238"/>
      <c r="T41" s="238"/>
      <c r="U41" s="238"/>
      <c r="V41" s="238" t="str">
        <f t="shared" si="0"/>
        <v>-</v>
      </c>
      <c r="W41" s="238"/>
      <c r="X41" s="238"/>
      <c r="Y41" s="238"/>
      <c r="Z41" s="238"/>
      <c r="AA41" s="238"/>
      <c r="AB41" s="231" t="str">
        <f t="shared" si="1"/>
        <v>-</v>
      </c>
      <c r="AC41" s="231"/>
      <c r="AD41" s="231"/>
      <c r="AE41" s="231"/>
      <c r="AF41" s="232"/>
    </row>
    <row r="42" spans="1:32" ht="15" customHeight="1" x14ac:dyDescent="0.25">
      <c r="A42" s="247"/>
      <c r="B42" s="248"/>
      <c r="C42" s="248"/>
      <c r="D42" s="248"/>
      <c r="E42" s="248"/>
      <c r="F42" s="248"/>
      <c r="G42" s="248"/>
      <c r="H42" s="248"/>
      <c r="I42" s="248"/>
      <c r="J42" s="248"/>
      <c r="K42" s="249"/>
      <c r="L42" s="250"/>
      <c r="M42" s="251" t="str">
        <f>_xlfn.IFNA(VLOOKUP(A42,Creatures[],5,FALSE),"-")</f>
        <v>-</v>
      </c>
      <c r="N42" s="252"/>
      <c r="O42" s="252"/>
      <c r="P42" s="238" t="str">
        <f>_xlfn.IFNA(VLOOKUP(M42,CREXP[],2,FALSE)*$M$18,"-")</f>
        <v>-</v>
      </c>
      <c r="Q42" s="238"/>
      <c r="R42" s="238"/>
      <c r="S42" s="238"/>
      <c r="T42" s="238"/>
      <c r="U42" s="238"/>
      <c r="V42" s="238" t="str">
        <f t="shared" si="0"/>
        <v>-</v>
      </c>
      <c r="W42" s="238"/>
      <c r="X42" s="238"/>
      <c r="Y42" s="238"/>
      <c r="Z42" s="238"/>
      <c r="AA42" s="238"/>
      <c r="AB42" s="231" t="str">
        <f t="shared" si="1"/>
        <v>-</v>
      </c>
      <c r="AC42" s="231"/>
      <c r="AD42" s="231"/>
      <c r="AE42" s="231"/>
      <c r="AF42" s="232"/>
    </row>
    <row r="43" spans="1:32" ht="15" customHeight="1" x14ac:dyDescent="0.25">
      <c r="A43" s="247"/>
      <c r="B43" s="248"/>
      <c r="C43" s="248"/>
      <c r="D43" s="248"/>
      <c r="E43" s="248"/>
      <c r="F43" s="248"/>
      <c r="G43" s="248"/>
      <c r="H43" s="248"/>
      <c r="I43" s="248"/>
      <c r="J43" s="248"/>
      <c r="K43" s="249"/>
      <c r="L43" s="250"/>
      <c r="M43" s="251" t="str">
        <f>_xlfn.IFNA(VLOOKUP(A43,Creatures[],5,FALSE),"-")</f>
        <v>-</v>
      </c>
      <c r="N43" s="252"/>
      <c r="O43" s="252"/>
      <c r="P43" s="238" t="str">
        <f>_xlfn.IFNA(VLOOKUP(M43,CREXP[],2,FALSE)*$M$18,"-")</f>
        <v>-</v>
      </c>
      <c r="Q43" s="238"/>
      <c r="R43" s="238"/>
      <c r="S43" s="238"/>
      <c r="T43" s="238"/>
      <c r="U43" s="238"/>
      <c r="V43" s="238" t="str">
        <f t="shared" si="0"/>
        <v>-</v>
      </c>
      <c r="W43" s="238"/>
      <c r="X43" s="238"/>
      <c r="Y43" s="238"/>
      <c r="Z43" s="238"/>
      <c r="AA43" s="238"/>
      <c r="AB43" s="231" t="str">
        <f t="shared" si="1"/>
        <v>-</v>
      </c>
      <c r="AC43" s="231"/>
      <c r="AD43" s="231"/>
      <c r="AE43" s="231"/>
      <c r="AF43" s="232"/>
    </row>
    <row r="44" spans="1:32" ht="15" customHeight="1" x14ac:dyDescent="0.25">
      <c r="A44" s="247"/>
      <c r="B44" s="248"/>
      <c r="C44" s="248"/>
      <c r="D44" s="248"/>
      <c r="E44" s="248"/>
      <c r="F44" s="248"/>
      <c r="G44" s="248"/>
      <c r="H44" s="248"/>
      <c r="I44" s="248"/>
      <c r="J44" s="248"/>
      <c r="K44" s="249"/>
      <c r="L44" s="250"/>
      <c r="M44" s="251" t="str">
        <f>_xlfn.IFNA(VLOOKUP(A44,Creatures[],5,FALSE),"-")</f>
        <v>-</v>
      </c>
      <c r="N44" s="252"/>
      <c r="O44" s="252"/>
      <c r="P44" s="238" t="str">
        <f>_xlfn.IFNA(VLOOKUP(M44,CREXP[],2,FALSE)*$M$18,"-")</f>
        <v>-</v>
      </c>
      <c r="Q44" s="238"/>
      <c r="R44" s="238"/>
      <c r="S44" s="238"/>
      <c r="T44" s="238"/>
      <c r="U44" s="238"/>
      <c r="V44" s="238" t="str">
        <f t="shared" si="0"/>
        <v>-</v>
      </c>
      <c r="W44" s="238"/>
      <c r="X44" s="238"/>
      <c r="Y44" s="238"/>
      <c r="Z44" s="238"/>
      <c r="AA44" s="238"/>
      <c r="AB44" s="231" t="str">
        <f t="shared" si="1"/>
        <v>-</v>
      </c>
      <c r="AC44" s="231"/>
      <c r="AD44" s="231"/>
      <c r="AE44" s="231"/>
      <c r="AF44" s="232"/>
    </row>
    <row r="45" spans="1:32" ht="15" customHeight="1" x14ac:dyDescent="0.25">
      <c r="A45" s="247"/>
      <c r="B45" s="248"/>
      <c r="C45" s="248"/>
      <c r="D45" s="248"/>
      <c r="E45" s="248"/>
      <c r="F45" s="248"/>
      <c r="G45" s="248"/>
      <c r="H45" s="248"/>
      <c r="I45" s="248"/>
      <c r="J45" s="248"/>
      <c r="K45" s="249"/>
      <c r="L45" s="250"/>
      <c r="M45" s="251" t="str">
        <f>_xlfn.IFNA(VLOOKUP(A45,Creatures[],5,FALSE),"-")</f>
        <v>-</v>
      </c>
      <c r="N45" s="252"/>
      <c r="O45" s="252"/>
      <c r="P45" s="238" t="str">
        <f>_xlfn.IFNA(VLOOKUP(M45,CREXP[],2,FALSE)*$M$18,"-")</f>
        <v>-</v>
      </c>
      <c r="Q45" s="238"/>
      <c r="R45" s="238"/>
      <c r="S45" s="238"/>
      <c r="T45" s="238"/>
      <c r="U45" s="238"/>
      <c r="V45" s="238" t="str">
        <f t="shared" si="0"/>
        <v>-</v>
      </c>
      <c r="W45" s="238"/>
      <c r="X45" s="238"/>
      <c r="Y45" s="238"/>
      <c r="Z45" s="238"/>
      <c r="AA45" s="238"/>
      <c r="AB45" s="231" t="str">
        <f t="shared" si="1"/>
        <v>-</v>
      </c>
      <c r="AC45" s="231"/>
      <c r="AD45" s="231"/>
      <c r="AE45" s="231"/>
      <c r="AF45" s="232"/>
    </row>
    <row r="46" spans="1:32" ht="15" customHeight="1" x14ac:dyDescent="0.25">
      <c r="A46" s="247"/>
      <c r="B46" s="248"/>
      <c r="C46" s="248"/>
      <c r="D46" s="248"/>
      <c r="E46" s="248"/>
      <c r="F46" s="248"/>
      <c r="G46" s="248"/>
      <c r="H46" s="248"/>
      <c r="I46" s="248"/>
      <c r="J46" s="248"/>
      <c r="K46" s="249"/>
      <c r="L46" s="250"/>
      <c r="M46" s="251" t="str">
        <f>_xlfn.IFNA(VLOOKUP(A46,Creatures[],5,FALSE),"-")</f>
        <v>-</v>
      </c>
      <c r="N46" s="252"/>
      <c r="O46" s="252"/>
      <c r="P46" s="238" t="str">
        <f>_xlfn.IFNA(VLOOKUP(M46,CREXP[],2,FALSE)*$M$18,"-")</f>
        <v>-</v>
      </c>
      <c r="Q46" s="238"/>
      <c r="R46" s="238"/>
      <c r="S46" s="238"/>
      <c r="T46" s="238"/>
      <c r="U46" s="238"/>
      <c r="V46" s="238" t="str">
        <f t="shared" si="0"/>
        <v>-</v>
      </c>
      <c r="W46" s="238"/>
      <c r="X46" s="238"/>
      <c r="Y46" s="238"/>
      <c r="Z46" s="238"/>
      <c r="AA46" s="238"/>
      <c r="AB46" s="231" t="str">
        <f t="shared" si="1"/>
        <v>-</v>
      </c>
      <c r="AC46" s="231"/>
      <c r="AD46" s="231"/>
      <c r="AE46" s="231"/>
      <c r="AF46" s="232"/>
    </row>
    <row r="47" spans="1:32" ht="15" customHeight="1" x14ac:dyDescent="0.25">
      <c r="A47" s="247"/>
      <c r="B47" s="248"/>
      <c r="C47" s="248"/>
      <c r="D47" s="248"/>
      <c r="E47" s="248"/>
      <c r="F47" s="248"/>
      <c r="G47" s="248"/>
      <c r="H47" s="248"/>
      <c r="I47" s="248"/>
      <c r="J47" s="248"/>
      <c r="K47" s="249"/>
      <c r="L47" s="250"/>
      <c r="M47" s="251" t="str">
        <f>_xlfn.IFNA(VLOOKUP(A47,Creatures[],5,FALSE),"-")</f>
        <v>-</v>
      </c>
      <c r="N47" s="252"/>
      <c r="O47" s="252"/>
      <c r="P47" s="238" t="str">
        <f>_xlfn.IFNA(VLOOKUP(M47,CREXP[],2,FALSE)*$M$18,"-")</f>
        <v>-</v>
      </c>
      <c r="Q47" s="238"/>
      <c r="R47" s="238"/>
      <c r="S47" s="238"/>
      <c r="T47" s="238"/>
      <c r="U47" s="238"/>
      <c r="V47" s="238" t="str">
        <f t="shared" si="0"/>
        <v>-</v>
      </c>
      <c r="W47" s="238"/>
      <c r="X47" s="238"/>
      <c r="Y47" s="238"/>
      <c r="Z47" s="238"/>
      <c r="AA47" s="238"/>
      <c r="AB47" s="231" t="str">
        <f t="shared" si="1"/>
        <v>-</v>
      </c>
      <c r="AC47" s="231"/>
      <c r="AD47" s="231"/>
      <c r="AE47" s="231"/>
      <c r="AF47" s="232"/>
    </row>
    <row r="48" spans="1:32" ht="15" customHeight="1" thickBot="1" x14ac:dyDescent="0.3">
      <c r="A48" s="257"/>
      <c r="B48" s="258"/>
      <c r="C48" s="258"/>
      <c r="D48" s="258"/>
      <c r="E48" s="258"/>
      <c r="F48" s="258"/>
      <c r="G48" s="258"/>
      <c r="H48" s="258"/>
      <c r="I48" s="258"/>
      <c r="J48" s="258"/>
      <c r="K48" s="259"/>
      <c r="L48" s="260"/>
      <c r="M48" s="261" t="str">
        <f>_xlfn.IFNA(VLOOKUP(A48,Creatures[],5,FALSE),"-")</f>
        <v>-</v>
      </c>
      <c r="N48" s="262"/>
      <c r="O48" s="262"/>
      <c r="P48" s="239" t="str">
        <f>_xlfn.IFNA(VLOOKUP(M48,CREXP[],2,FALSE)*$M$18,"-")</f>
        <v>-</v>
      </c>
      <c r="Q48" s="239"/>
      <c r="R48" s="239"/>
      <c r="S48" s="239"/>
      <c r="T48" s="239"/>
      <c r="U48" s="239"/>
      <c r="V48" s="239" t="str">
        <f t="shared" si="0"/>
        <v>-</v>
      </c>
      <c r="W48" s="239"/>
      <c r="X48" s="239"/>
      <c r="Y48" s="239"/>
      <c r="Z48" s="239"/>
      <c r="AA48" s="239"/>
      <c r="AB48" s="233" t="str">
        <f t="shared" si="1"/>
        <v>-</v>
      </c>
      <c r="AC48" s="233"/>
      <c r="AD48" s="233"/>
      <c r="AE48" s="233"/>
      <c r="AF48" s="234"/>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53">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PullLoadView">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6" id="{60707A10-84F0-491E-894F-DFD01A60D4FD}">
            <x14:colorScale>
              <x14:cfvo type="num">
                <xm:f>0</xm:f>
              </x14:cfvo>
              <x14:cfvo type="num">
                <xm:f>'Readied Encounter'!$C$5/2</xm:f>
              </x14:cfvo>
              <x14:cfvo type="num">
                <xm:f>'Readied Encounter'!$C$5</xm:f>
              </x14:cfvo>
              <x14:color rgb="FFF8696B"/>
              <x14:color rgb="FFFFEB84"/>
              <x14:color rgb="FF63BE7B"/>
            </x14:colorScale>
          </x14:cfRule>
          <xm:sqref>D5</xm:sqref>
        </x14:conditionalFormatting>
        <x14:conditionalFormatting xmlns:xm="http://schemas.microsoft.com/office/excel/2006/main">
          <x14:cfRule type="colorScale" priority="5" id="{4CFD9497-AF2B-4EE6-8C49-00E7E208BBF3}">
            <x14:colorScale>
              <x14:cfvo type="num">
                <xm:f>0</xm:f>
              </x14:cfvo>
              <x14:cfvo type="num">
                <xm:f>'Readied Encounter'!$C$6/2</xm:f>
              </x14:cfvo>
              <x14:cfvo type="num">
                <xm:f>'Readied Encounter'!$C$6</xm:f>
              </x14:cfvo>
              <x14:color rgb="FFF8696B"/>
              <x14:color rgb="FFFFEB84"/>
              <x14:color rgb="FF63BE7B"/>
            </x14:colorScale>
          </x14:cfRule>
          <xm:sqref>D6</xm:sqref>
        </x14:conditionalFormatting>
        <x14:conditionalFormatting xmlns:xm="http://schemas.microsoft.com/office/excel/2006/main">
          <x14:cfRule type="colorScale" priority="4" id="{1A92D9D5-D5A0-4677-92A0-795CCE4D5C0D}">
            <x14:colorScale>
              <x14:cfvo type="num">
                <xm:f>0</xm:f>
              </x14:cfvo>
              <x14:cfvo type="num">
                <xm:f>'Readied Encounter'!$C$7/2</xm:f>
              </x14:cfvo>
              <x14:cfvo type="num">
                <xm:f>'Readied Encounter'!$C$7</xm:f>
              </x14:cfvo>
              <x14:color rgb="FFF8696B"/>
              <x14:color rgb="FFFFEB84"/>
              <x14:color rgb="FF63BE7B"/>
            </x14:colorScale>
          </x14:cfRule>
          <xm:sqref>D7</xm:sqref>
        </x14:conditionalFormatting>
        <x14:conditionalFormatting xmlns:xm="http://schemas.microsoft.com/office/excel/2006/main">
          <x14:cfRule type="colorScale" priority="3" id="{81C6B2A4-2B58-47DA-B867-589FFFA660E8}">
            <x14:colorScale>
              <x14:cfvo type="num">
                <xm:f>0</xm:f>
              </x14:cfvo>
              <x14:cfvo type="num">
                <xm:f>'Readied Encounter'!$C$8/2</xm:f>
              </x14:cfvo>
              <x14:cfvo type="num">
                <xm:f>'Readied Encounter'!$C$8</xm:f>
              </x14:cfvo>
              <x14:color rgb="FFF8696B"/>
              <x14:color rgb="FFFFEB84"/>
              <x14:color rgb="FF63BE7B"/>
            </x14:colorScale>
          </x14:cfRule>
          <xm:sqref>D8</xm:sqref>
        </x14:conditionalFormatting>
        <x14:conditionalFormatting xmlns:xm="http://schemas.microsoft.com/office/excel/2006/main">
          <x14:cfRule type="colorScale" priority="2" id="{C4C0C6CF-58F1-4578-A4EF-546EB4A1A411}">
            <x14:colorScale>
              <x14:cfvo type="num">
                <xm:f>0</xm:f>
              </x14:cfvo>
              <x14:cfvo type="num">
                <xm:f>'Readied Encounter'!$C$9/2</xm:f>
              </x14:cfvo>
              <x14:cfvo type="num">
                <xm:f>'Readied Encounter'!$C$9</xm:f>
              </x14:cfvo>
              <x14:color rgb="FFF8696B"/>
              <x14:color rgb="FFFFEB84"/>
              <x14:color rgb="FF63BE7B"/>
            </x14:colorScale>
          </x14:cfRule>
          <xm:sqref>D9</xm:sqref>
        </x14:conditionalFormatting>
        <x14:conditionalFormatting xmlns:xm="http://schemas.microsoft.com/office/excel/2006/main">
          <x14:cfRule type="colorScale" priority="1" id="{B91C001E-E2CD-4F87-8757-B9278520D332}">
            <x14:colorScale>
              <x14:cfvo type="num">
                <xm:f>0</xm:f>
              </x14:cfvo>
              <x14:cfvo type="num">
                <xm:f>'Readied Encounter'!$C$10/2</xm:f>
              </x14:cfvo>
              <x14:cfvo type="num">
                <xm:f>'Readied Encounter'!$C$10</xm:f>
              </x14:cfvo>
              <x14:color rgb="FFF8696B"/>
              <x14:color rgb="FFFFEB84"/>
              <x14:color rgb="FF63BE7B"/>
            </x14:colorScale>
          </x14:cfRule>
          <xm:sqref>D10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RowColHeaders="0" zoomScale="110" zoomScaleNormal="110" workbookViewId="0">
      <selection activeCell="BE29" sqref="BE29"/>
    </sheetView>
  </sheetViews>
  <sheetFormatPr defaultColWidth="2.85546875" defaultRowHeight="15" customHeight="1" x14ac:dyDescent="0.25"/>
  <cols>
    <col min="1" max="51" width="2.85546875" style="59" customWidth="1"/>
    <col min="52" max="16384" width="2.85546875" style="59"/>
  </cols>
  <sheetData>
    <row r="1" spans="1:51" ht="15.75" thickBot="1" x14ac:dyDescent="0.3">
      <c r="H1" s="249" t="s">
        <v>6</v>
      </c>
      <c r="I1" s="248"/>
      <c r="J1" s="248"/>
      <c r="K1" s="248"/>
      <c r="L1" s="248"/>
      <c r="M1" s="248"/>
      <c r="N1" s="248"/>
      <c r="O1" s="248"/>
      <c r="P1" s="248"/>
      <c r="Q1" s="248"/>
      <c r="R1" s="248"/>
      <c r="S1" s="248"/>
      <c r="T1" s="248"/>
      <c r="U1" s="248"/>
      <c r="V1" s="248"/>
      <c r="W1" s="248"/>
      <c r="X1" s="248"/>
      <c r="Y1" s="248"/>
      <c r="Z1" s="248"/>
      <c r="AA1" s="248"/>
      <c r="AB1" s="248"/>
      <c r="AC1" s="322"/>
    </row>
    <row r="2" spans="1:51" ht="21" thickBot="1" x14ac:dyDescent="0.3">
      <c r="A2" s="316" t="s">
        <v>1323</v>
      </c>
      <c r="B2" s="316"/>
      <c r="C2" s="316"/>
      <c r="D2" s="316"/>
      <c r="E2" s="316"/>
      <c r="F2" s="316" t="s">
        <v>1088</v>
      </c>
      <c r="G2" s="323"/>
      <c r="H2" s="45" t="s">
        <v>1142</v>
      </c>
      <c r="I2" s="45" t="s">
        <v>1143</v>
      </c>
      <c r="J2" s="45" t="s">
        <v>1144</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55">
        <v>20</v>
      </c>
      <c r="AF2" s="108"/>
      <c r="AG2" s="109"/>
      <c r="AH2" s="109"/>
      <c r="AI2" s="109"/>
      <c r="AJ2" s="109"/>
      <c r="AK2" s="109"/>
      <c r="AL2" s="109"/>
      <c r="AM2" s="109"/>
      <c r="AN2" s="109"/>
      <c r="AO2" s="109"/>
      <c r="AP2" s="109"/>
      <c r="AQ2" s="109"/>
      <c r="AR2" s="109"/>
      <c r="AS2" s="109"/>
      <c r="AT2" s="109"/>
      <c r="AU2" s="109"/>
      <c r="AV2" s="109"/>
      <c r="AW2" s="109"/>
      <c r="AX2" s="109"/>
      <c r="AY2" s="110"/>
    </row>
    <row r="3" spans="1:51" x14ac:dyDescent="0.25">
      <c r="A3" s="314" t="str">
        <f>IF('Player Manager'!J13="","",'Player Manager'!J11)</f>
        <v>Athell</v>
      </c>
      <c r="B3" s="315"/>
      <c r="C3" s="315"/>
      <c r="D3" s="315"/>
      <c r="E3" s="315"/>
      <c r="F3" s="312">
        <f ca="1">IF(A3="","",'Player Manager'!J15)</f>
        <v>2</v>
      </c>
      <c r="G3" s="313"/>
      <c r="H3" s="46">
        <f t="array" aca="1" ref="H3:AC3" ca="1">GetCreaturePlayer(F3,PlayerToCreature[])</f>
        <v>3</v>
      </c>
      <c r="I3" s="47">
        <f ca="1"/>
        <v>2</v>
      </c>
      <c r="J3" s="47">
        <f ca="1"/>
        <v>1</v>
      </c>
      <c r="K3" s="47" t="str">
        <f ca="1"/>
        <v>1/3</v>
      </c>
      <c r="L3" s="47" t="str">
        <f ca="1"/>
        <v>1/6</v>
      </c>
      <c r="M3" s="47">
        <f ca="1"/>
        <v>0</v>
      </c>
      <c r="N3" s="47">
        <f ca="1"/>
        <v>0</v>
      </c>
      <c r="O3" s="47">
        <f ca="1"/>
        <v>0</v>
      </c>
      <c r="P3" s="47">
        <f ca="1"/>
        <v>0</v>
      </c>
      <c r="Q3" s="47">
        <f ca="1"/>
        <v>0</v>
      </c>
      <c r="R3" s="47">
        <f ca="1"/>
        <v>0</v>
      </c>
      <c r="S3" s="47">
        <f ca="1"/>
        <v>0</v>
      </c>
      <c r="T3" s="47">
        <f ca="1"/>
        <v>0</v>
      </c>
      <c r="U3" s="47">
        <f ca="1"/>
        <v>0</v>
      </c>
      <c r="V3" s="47">
        <f ca="1"/>
        <v>0</v>
      </c>
      <c r="W3" s="47">
        <f ca="1"/>
        <v>0</v>
      </c>
      <c r="X3" s="47">
        <f ca="1"/>
        <v>0</v>
      </c>
      <c r="Y3" s="47">
        <f ca="1"/>
        <v>0</v>
      </c>
      <c r="Z3" s="47">
        <f ca="1"/>
        <v>0</v>
      </c>
      <c r="AA3" s="47">
        <f ca="1"/>
        <v>0</v>
      </c>
      <c r="AB3" s="47">
        <f ca="1"/>
        <v>0</v>
      </c>
      <c r="AC3" s="48">
        <f ca="1"/>
        <v>0</v>
      </c>
      <c r="AF3" s="113"/>
      <c r="AG3" s="18"/>
      <c r="AH3" s="18"/>
      <c r="AI3" s="18"/>
      <c r="AJ3" s="18"/>
      <c r="AK3" s="18"/>
      <c r="AL3" s="18"/>
      <c r="AM3" s="18"/>
      <c r="AN3" s="18"/>
      <c r="AO3" s="18"/>
      <c r="AP3" s="18"/>
      <c r="AQ3" s="18"/>
      <c r="AR3" s="18"/>
      <c r="AS3" s="18"/>
      <c r="AT3" s="18"/>
      <c r="AU3" s="18"/>
      <c r="AV3" s="18"/>
      <c r="AW3" s="18"/>
      <c r="AX3" s="18"/>
      <c r="AY3" s="114"/>
    </row>
    <row r="4" spans="1:51" x14ac:dyDescent="0.25">
      <c r="A4" s="307" t="str">
        <f>IF('Player Manager'!S13="","",'Player Manager'!S11)</f>
        <v/>
      </c>
      <c r="B4" s="308"/>
      <c r="C4" s="308"/>
      <c r="D4" s="308"/>
      <c r="E4" s="308"/>
      <c r="F4" s="247" t="str">
        <f>IF(A4="","",'Player Manager'!S15)</f>
        <v/>
      </c>
      <c r="G4" s="305"/>
      <c r="H4" s="49" t="str">
        <f t="array" ref="H4:AC4">GetCreaturePlayer(F4,PlayerToCreature[])</f>
        <v/>
      </c>
      <c r="I4" s="50" t="str">
        <v/>
      </c>
      <c r="J4" s="50" t="str">
        <v/>
      </c>
      <c r="K4" s="50" t="str">
        <v/>
      </c>
      <c r="L4" s="50" t="str">
        <v/>
      </c>
      <c r="M4" s="50" t="str">
        <v/>
      </c>
      <c r="N4" s="50" t="str">
        <v/>
      </c>
      <c r="O4" s="50" t="str">
        <v/>
      </c>
      <c r="P4" s="50" t="str">
        <v/>
      </c>
      <c r="Q4" s="50" t="str">
        <v/>
      </c>
      <c r="R4" s="50" t="str">
        <v/>
      </c>
      <c r="S4" s="50" t="str">
        <v/>
      </c>
      <c r="T4" s="50" t="str">
        <v/>
      </c>
      <c r="U4" s="50" t="str">
        <v/>
      </c>
      <c r="V4" s="50" t="str">
        <v/>
      </c>
      <c r="W4" s="50" t="str">
        <v/>
      </c>
      <c r="X4" s="50" t="str">
        <v/>
      </c>
      <c r="Y4" s="50" t="str">
        <v/>
      </c>
      <c r="Z4" s="50" t="str">
        <v/>
      </c>
      <c r="AA4" s="50" t="str">
        <v/>
      </c>
      <c r="AB4" s="50" t="str">
        <v/>
      </c>
      <c r="AC4" s="51" t="str">
        <v/>
      </c>
      <c r="AF4" s="113"/>
      <c r="AG4" s="18"/>
      <c r="AH4" s="18"/>
      <c r="AI4" s="18"/>
      <c r="AJ4" s="18"/>
      <c r="AK4" s="18"/>
      <c r="AL4" s="18"/>
      <c r="AM4" s="18"/>
      <c r="AN4" s="18"/>
      <c r="AO4" s="18"/>
      <c r="AP4" s="18"/>
      <c r="AQ4" s="18"/>
      <c r="AR4" s="18"/>
      <c r="AS4" s="18"/>
      <c r="AT4" s="18"/>
      <c r="AU4" s="18"/>
      <c r="AV4" s="18"/>
      <c r="AW4" s="18"/>
      <c r="AX4" s="18"/>
      <c r="AY4" s="114"/>
    </row>
    <row r="5" spans="1:51" x14ac:dyDescent="0.25">
      <c r="A5" s="307" t="str">
        <f>IF('Player Manager'!AB13="","",'Player Manager'!AB11)</f>
        <v>Castell</v>
      </c>
      <c r="B5" s="308"/>
      <c r="C5" s="308"/>
      <c r="D5" s="308"/>
      <c r="E5" s="308"/>
      <c r="F5" s="247">
        <f ca="1">IF(A5="","",'Player Manager'!AB15)</f>
        <v>15</v>
      </c>
      <c r="G5" s="305"/>
      <c r="H5" s="49">
        <f t="array" aca="1" ref="H5:AC5" ca="1">GetCreaturePlayer(F5,PlayerToCreature[])</f>
        <v>12</v>
      </c>
      <c r="I5" s="50">
        <f ca="1"/>
        <v>12</v>
      </c>
      <c r="J5" s="50">
        <f ca="1"/>
        <v>12</v>
      </c>
      <c r="K5" s="50">
        <f ca="1"/>
        <v>12</v>
      </c>
      <c r="L5" s="50">
        <f ca="1"/>
        <v>5</v>
      </c>
      <c r="M5" s="50">
        <f ca="1"/>
        <v>3</v>
      </c>
      <c r="N5" s="50">
        <f ca="1"/>
        <v>2</v>
      </c>
      <c r="O5" s="50">
        <f ca="1"/>
        <v>1</v>
      </c>
      <c r="P5" s="50">
        <f ca="1"/>
        <v>1</v>
      </c>
      <c r="Q5" s="50">
        <f ca="1"/>
        <v>1</v>
      </c>
      <c r="R5" s="50" t="str">
        <f ca="1"/>
        <v>1/2</v>
      </c>
      <c r="S5" s="50" t="str">
        <f ca="1"/>
        <v>1/2</v>
      </c>
      <c r="T5" s="50" t="str">
        <f ca="1"/>
        <v>1/3</v>
      </c>
      <c r="U5" s="50" t="str">
        <f ca="1"/>
        <v>1/3</v>
      </c>
      <c r="V5" s="50" t="str">
        <f ca="1"/>
        <v>1/4</v>
      </c>
      <c r="W5" s="50" t="str">
        <f ca="1"/>
        <v>1/5</v>
      </c>
      <c r="X5" s="50" t="str">
        <f ca="1"/>
        <v>1/5</v>
      </c>
      <c r="Y5" s="50" t="str">
        <f ca="1"/>
        <v>1/6</v>
      </c>
      <c r="Z5" s="50">
        <f ca="1"/>
        <v>0</v>
      </c>
      <c r="AA5" s="50">
        <f ca="1"/>
        <v>0</v>
      </c>
      <c r="AB5" s="50">
        <f ca="1"/>
        <v>0</v>
      </c>
      <c r="AC5" s="51">
        <f ca="1"/>
        <v>0</v>
      </c>
      <c r="AF5" s="113"/>
      <c r="AG5" s="18"/>
      <c r="AH5" s="18"/>
      <c r="AI5" s="18"/>
      <c r="AJ5" s="18"/>
      <c r="AK5" s="18"/>
      <c r="AL5" s="18"/>
      <c r="AM5" s="18"/>
      <c r="AN5" s="18"/>
      <c r="AO5" s="18"/>
      <c r="AP5" s="18"/>
      <c r="AQ5" s="18"/>
      <c r="AR5" s="18"/>
      <c r="AS5" s="18"/>
      <c r="AT5" s="18"/>
      <c r="AU5" s="18"/>
      <c r="AV5" s="18"/>
      <c r="AW5" s="18"/>
      <c r="AX5" s="18"/>
      <c r="AY5" s="114"/>
    </row>
    <row r="6" spans="1:51" x14ac:dyDescent="0.25">
      <c r="A6" s="307" t="str">
        <f>IF('Player Manager'!AK13="","",'Player Manager'!AK11)</f>
        <v>Dethrak</v>
      </c>
      <c r="B6" s="308"/>
      <c r="C6" s="308"/>
      <c r="D6" s="308"/>
      <c r="E6" s="308"/>
      <c r="F6" s="247">
        <f ca="1">IF(A6="","",'Player Manager'!AK15)</f>
        <v>19</v>
      </c>
      <c r="G6" s="305"/>
      <c r="H6" s="49">
        <f t="array" aca="1" ref="H6:AC6" ca="1">GetCreaturePlayer(F6,PlayerToCreature[])</f>
        <v>12</v>
      </c>
      <c r="I6" s="50">
        <f ca="1"/>
        <v>12</v>
      </c>
      <c r="J6" s="50">
        <f ca="1"/>
        <v>12</v>
      </c>
      <c r="K6" s="50">
        <f ca="1"/>
        <v>12</v>
      </c>
      <c r="L6" s="50">
        <f ca="1"/>
        <v>8</v>
      </c>
      <c r="M6" s="50">
        <f ca="1"/>
        <v>5</v>
      </c>
      <c r="N6" s="50">
        <f ca="1"/>
        <v>3</v>
      </c>
      <c r="O6" s="50">
        <f ca="1"/>
        <v>2</v>
      </c>
      <c r="P6" s="50">
        <f ca="1"/>
        <v>2</v>
      </c>
      <c r="Q6" s="50">
        <f ca="1"/>
        <v>1</v>
      </c>
      <c r="R6" s="50">
        <f ca="1"/>
        <v>1</v>
      </c>
      <c r="S6" s="50">
        <f ca="1"/>
        <v>1</v>
      </c>
      <c r="T6" s="50" t="str">
        <f ca="1"/>
        <v>1/2</v>
      </c>
      <c r="U6" s="50" t="str">
        <f ca="1"/>
        <v>1/2</v>
      </c>
      <c r="V6" s="50" t="str">
        <f ca="1"/>
        <v>1/2</v>
      </c>
      <c r="W6" s="50" t="str">
        <f ca="1"/>
        <v>1/3</v>
      </c>
      <c r="X6" s="50" t="str">
        <f ca="1"/>
        <v>1/3</v>
      </c>
      <c r="Y6" s="50" t="str">
        <f ca="1"/>
        <v>1/4</v>
      </c>
      <c r="Z6" s="50" t="str">
        <f ca="1"/>
        <v>1/4</v>
      </c>
      <c r="AA6" s="50" t="str">
        <f ca="1"/>
        <v>1/5</v>
      </c>
      <c r="AB6" s="50" t="str">
        <f ca="1"/>
        <v>1/6</v>
      </c>
      <c r="AC6" s="51" t="str">
        <f ca="1"/>
        <v>1/6</v>
      </c>
      <c r="AF6" s="113"/>
      <c r="AG6" s="18"/>
      <c r="AH6" s="18"/>
      <c r="AI6" s="18"/>
      <c r="AJ6" s="18"/>
      <c r="AK6" s="18"/>
      <c r="AL6" s="18"/>
      <c r="AM6" s="18"/>
      <c r="AN6" s="18"/>
      <c r="AO6" s="18"/>
      <c r="AP6" s="18"/>
      <c r="AQ6" s="18"/>
      <c r="AR6" s="18"/>
      <c r="AS6" s="18"/>
      <c r="AT6" s="18"/>
      <c r="AU6" s="18"/>
      <c r="AV6" s="18"/>
      <c r="AW6" s="18"/>
      <c r="AX6" s="18"/>
      <c r="AY6" s="114"/>
    </row>
    <row r="7" spans="1:51" x14ac:dyDescent="0.25">
      <c r="A7" s="307" t="str">
        <f>IF('Player Manager'!AT13="","",'Player Manager'!AT11)</f>
        <v>Edmond</v>
      </c>
      <c r="B7" s="308"/>
      <c r="C7" s="308"/>
      <c r="D7" s="308"/>
      <c r="E7" s="308"/>
      <c r="F7" s="247">
        <f ca="1">IF(A7="","",'Player Manager'!AT15)</f>
        <v>1</v>
      </c>
      <c r="G7" s="305"/>
      <c r="H7" s="49">
        <f t="array" aca="1" ref="H7:AC7" ca="1">GetCreaturePlayer(F7,PlayerToCreature[])</f>
        <v>2</v>
      </c>
      <c r="I7" s="50">
        <f ca="1"/>
        <v>1</v>
      </c>
      <c r="J7" s="50" t="str">
        <f ca="1"/>
        <v>1/3</v>
      </c>
      <c r="K7" s="50" t="str">
        <f ca="1"/>
        <v>1/5</v>
      </c>
      <c r="L7" s="50">
        <f ca="1"/>
        <v>0</v>
      </c>
      <c r="M7" s="50">
        <f ca="1"/>
        <v>0</v>
      </c>
      <c r="N7" s="50">
        <f ca="1"/>
        <v>0</v>
      </c>
      <c r="O7" s="50">
        <f ca="1"/>
        <v>0</v>
      </c>
      <c r="P7" s="50">
        <f ca="1"/>
        <v>0</v>
      </c>
      <c r="Q7" s="50">
        <f ca="1"/>
        <v>0</v>
      </c>
      <c r="R7" s="50">
        <f ca="1"/>
        <v>0</v>
      </c>
      <c r="S7" s="50">
        <f ca="1"/>
        <v>0</v>
      </c>
      <c r="T7" s="50">
        <f ca="1"/>
        <v>0</v>
      </c>
      <c r="U7" s="50">
        <f ca="1"/>
        <v>0</v>
      </c>
      <c r="V7" s="50">
        <f ca="1"/>
        <v>0</v>
      </c>
      <c r="W7" s="50">
        <f ca="1"/>
        <v>0</v>
      </c>
      <c r="X7" s="50">
        <f ca="1"/>
        <v>0</v>
      </c>
      <c r="Y7" s="50">
        <f ca="1"/>
        <v>0</v>
      </c>
      <c r="Z7" s="50">
        <f ca="1"/>
        <v>0</v>
      </c>
      <c r="AA7" s="50">
        <f ca="1"/>
        <v>0</v>
      </c>
      <c r="AB7" s="50">
        <f ca="1"/>
        <v>0</v>
      </c>
      <c r="AC7" s="51">
        <f ca="1"/>
        <v>0</v>
      </c>
      <c r="AF7" s="113"/>
      <c r="AG7" s="18"/>
      <c r="AH7" s="18"/>
      <c r="AI7" s="18"/>
      <c r="AJ7" s="18"/>
      <c r="AK7" s="18"/>
      <c r="AL7" s="18"/>
      <c r="AM7" s="18"/>
      <c r="AN7" s="18"/>
      <c r="AO7" s="18"/>
      <c r="AP7" s="18"/>
      <c r="AQ7" s="18"/>
      <c r="AR7" s="18"/>
      <c r="AS7" s="18"/>
      <c r="AT7" s="18"/>
      <c r="AU7" s="18"/>
      <c r="AV7" s="18"/>
      <c r="AW7" s="18"/>
      <c r="AX7" s="18"/>
      <c r="AY7" s="114"/>
    </row>
    <row r="8" spans="1:51" x14ac:dyDescent="0.25">
      <c r="A8" s="307" t="str">
        <f>IF('Player Manager'!BC13="","",'Player Manager'!BC11)</f>
        <v/>
      </c>
      <c r="B8" s="308"/>
      <c r="C8" s="308"/>
      <c r="D8" s="308"/>
      <c r="E8" s="308"/>
      <c r="F8" s="247" t="str">
        <f>IF(A8="","",'Player Manager'!BC15)</f>
        <v/>
      </c>
      <c r="G8" s="305"/>
      <c r="H8" s="49" t="str">
        <f t="array" ref="H8:AC8">GetCreaturePlayer(F8,PlayerToCreature[])</f>
        <v/>
      </c>
      <c r="I8" s="50" t="str">
        <v/>
      </c>
      <c r="J8" s="50" t="str">
        <v/>
      </c>
      <c r="K8" s="50" t="str">
        <v/>
      </c>
      <c r="L8" s="50" t="str">
        <v/>
      </c>
      <c r="M8" s="50" t="str">
        <v/>
      </c>
      <c r="N8" s="50" t="str">
        <v/>
      </c>
      <c r="O8" s="50" t="str">
        <v/>
      </c>
      <c r="P8" s="50" t="str">
        <v/>
      </c>
      <c r="Q8" s="50" t="str">
        <v/>
      </c>
      <c r="R8" s="50" t="str">
        <v/>
      </c>
      <c r="S8" s="50" t="str">
        <v/>
      </c>
      <c r="T8" s="50" t="str">
        <v/>
      </c>
      <c r="U8" s="50" t="str">
        <v/>
      </c>
      <c r="V8" s="50" t="str">
        <v/>
      </c>
      <c r="W8" s="50" t="str">
        <v/>
      </c>
      <c r="X8" s="50" t="str">
        <v/>
      </c>
      <c r="Y8" s="50" t="str">
        <v/>
      </c>
      <c r="Z8" s="50" t="str">
        <v/>
      </c>
      <c r="AA8" s="50" t="str">
        <v/>
      </c>
      <c r="AB8" s="50" t="str">
        <v/>
      </c>
      <c r="AC8" s="51" t="str">
        <v/>
      </c>
      <c r="AF8" s="113"/>
      <c r="AG8" s="18"/>
      <c r="AH8" s="18"/>
      <c r="AI8" s="18"/>
      <c r="AJ8" s="18"/>
      <c r="AK8" s="18"/>
      <c r="AL8" s="18"/>
      <c r="AM8" s="18"/>
      <c r="AN8" s="18"/>
      <c r="AO8" s="18"/>
      <c r="AP8" s="18"/>
      <c r="AQ8" s="18"/>
      <c r="AR8" s="18"/>
      <c r="AS8" s="18"/>
      <c r="AT8" s="18"/>
      <c r="AU8" s="18"/>
      <c r="AV8" s="18"/>
      <c r="AW8" s="18"/>
      <c r="AX8" s="18"/>
      <c r="AY8" s="114"/>
    </row>
    <row r="9" spans="1:51" x14ac:dyDescent="0.25">
      <c r="A9" s="307" t="str">
        <f>IF('Player Manager'!BL13="","",'Player Manager'!BL11)</f>
        <v/>
      </c>
      <c r="B9" s="308"/>
      <c r="C9" s="308"/>
      <c r="D9" s="308"/>
      <c r="E9" s="308"/>
      <c r="F9" s="247" t="str">
        <f>IF(A9="","",'Player Manager'!BL15)</f>
        <v/>
      </c>
      <c r="G9" s="305"/>
      <c r="H9" s="49" t="str">
        <f t="array" ref="H9:AC9">GetCreaturePlayer(F9,PlayerToCreature[])</f>
        <v/>
      </c>
      <c r="I9" s="50" t="str">
        <v/>
      </c>
      <c r="J9" s="50" t="str">
        <v/>
      </c>
      <c r="K9" s="50" t="str">
        <v/>
      </c>
      <c r="L9" s="50" t="str">
        <v/>
      </c>
      <c r="M9" s="50" t="str">
        <v/>
      </c>
      <c r="N9" s="50" t="str">
        <v/>
      </c>
      <c r="O9" s="50" t="str">
        <v/>
      </c>
      <c r="P9" s="50" t="str">
        <v/>
      </c>
      <c r="Q9" s="50" t="str">
        <v/>
      </c>
      <c r="R9" s="50" t="str">
        <v/>
      </c>
      <c r="S9" s="50" t="str">
        <v/>
      </c>
      <c r="T9" s="50" t="str">
        <v/>
      </c>
      <c r="U9" s="50" t="str">
        <v/>
      </c>
      <c r="V9" s="50" t="str">
        <v/>
      </c>
      <c r="W9" s="50" t="str">
        <v/>
      </c>
      <c r="X9" s="50" t="str">
        <v/>
      </c>
      <c r="Y9" s="50" t="str">
        <v/>
      </c>
      <c r="Z9" s="50" t="str">
        <v/>
      </c>
      <c r="AA9" s="50" t="str">
        <v/>
      </c>
      <c r="AB9" s="50" t="str">
        <v/>
      </c>
      <c r="AC9" s="51" t="str">
        <v/>
      </c>
      <c r="AF9" s="113"/>
      <c r="AG9" s="18"/>
      <c r="AH9" s="18"/>
      <c r="AI9" s="18"/>
      <c r="AJ9" s="18"/>
      <c r="AK9" s="18"/>
      <c r="AL9" s="18"/>
      <c r="AM9" s="18"/>
      <c r="AN9" s="18"/>
      <c r="AO9" s="18"/>
      <c r="AP9" s="18"/>
      <c r="AQ9" s="18"/>
      <c r="AR9" s="18"/>
      <c r="AS9" s="18"/>
      <c r="AT9" s="18"/>
      <c r="AU9" s="18"/>
      <c r="AV9" s="18"/>
      <c r="AW9" s="18"/>
      <c r="AX9" s="18"/>
      <c r="AY9" s="114"/>
    </row>
    <row r="10" spans="1:51" x14ac:dyDescent="0.25">
      <c r="A10" s="307" t="str">
        <f>IF('Player Manager'!BU13="","",'Player Manager'!BU11)</f>
        <v>Hadar</v>
      </c>
      <c r="B10" s="308"/>
      <c r="C10" s="308"/>
      <c r="D10" s="308"/>
      <c r="E10" s="308"/>
      <c r="F10" s="247">
        <f ca="1">IF(A10="","",'Player Manager'!BL15)</f>
        <v>12</v>
      </c>
      <c r="G10" s="305"/>
      <c r="H10" s="49">
        <f t="array" aca="1" ref="H10:AC10" ca="1">GetCreaturePlayer(F10,PlayerToCreature[])</f>
        <v>12</v>
      </c>
      <c r="I10" s="50">
        <f ca="1"/>
        <v>12</v>
      </c>
      <c r="J10" s="50">
        <f ca="1"/>
        <v>12</v>
      </c>
      <c r="K10" s="50">
        <f ca="1"/>
        <v>8</v>
      </c>
      <c r="L10" s="50">
        <f ca="1"/>
        <v>3</v>
      </c>
      <c r="M10" s="50">
        <f ca="1"/>
        <v>2</v>
      </c>
      <c r="N10" s="50">
        <f ca="1"/>
        <v>1</v>
      </c>
      <c r="O10" s="50">
        <f ca="1"/>
        <v>1</v>
      </c>
      <c r="P10" s="50" t="str">
        <f ca="1"/>
        <v>1/2</v>
      </c>
      <c r="Q10" s="50" t="str">
        <f ca="1"/>
        <v>1/2</v>
      </c>
      <c r="R10" s="50" t="str">
        <f ca="1"/>
        <v>1/3</v>
      </c>
      <c r="S10" s="50" t="str">
        <f ca="1"/>
        <v>1/3</v>
      </c>
      <c r="T10" s="50" t="str">
        <f ca="1"/>
        <v>1/4</v>
      </c>
      <c r="U10" s="50" t="str">
        <f ca="1"/>
        <v>1/5</v>
      </c>
      <c r="V10" s="50" t="str">
        <f ca="1"/>
        <v>1/6</v>
      </c>
      <c r="W10" s="50">
        <f ca="1"/>
        <v>0</v>
      </c>
      <c r="X10" s="50">
        <f ca="1"/>
        <v>0</v>
      </c>
      <c r="Y10" s="50">
        <f ca="1"/>
        <v>0</v>
      </c>
      <c r="Z10" s="50">
        <f ca="1"/>
        <v>0</v>
      </c>
      <c r="AA10" s="50">
        <f ca="1"/>
        <v>0</v>
      </c>
      <c r="AB10" s="50">
        <f ca="1"/>
        <v>0</v>
      </c>
      <c r="AC10" s="51">
        <f ca="1"/>
        <v>0</v>
      </c>
      <c r="AF10" s="113"/>
      <c r="AG10" s="18"/>
      <c r="AH10" s="18"/>
      <c r="AI10" s="18"/>
      <c r="AJ10" s="18"/>
      <c r="AK10" s="18"/>
      <c r="AL10" s="18"/>
      <c r="AM10" s="18"/>
      <c r="AN10" s="18"/>
      <c r="AO10" s="18"/>
      <c r="AP10" s="18"/>
      <c r="AQ10" s="18"/>
      <c r="AR10" s="18"/>
      <c r="AS10" s="18"/>
      <c r="AT10" s="18"/>
      <c r="AU10" s="18"/>
      <c r="AV10" s="18"/>
      <c r="AW10" s="18"/>
      <c r="AX10" s="18"/>
      <c r="AY10" s="114"/>
    </row>
    <row r="11" spans="1:51" x14ac:dyDescent="0.25">
      <c r="A11" s="307" t="str">
        <f>IF('Player Manager'!CD13="","",'Player Manager'!CD11)</f>
        <v/>
      </c>
      <c r="B11" s="308"/>
      <c r="C11" s="308"/>
      <c r="D11" s="308"/>
      <c r="E11" s="308"/>
      <c r="F11" s="247" t="str">
        <f>IF(A11="","",'Player Manager'!BU15)</f>
        <v/>
      </c>
      <c r="G11" s="305"/>
      <c r="H11" s="49" t="str">
        <f t="array" ref="H11:AC11">GetCreaturePlayer(F11,PlayerToCreature[])</f>
        <v/>
      </c>
      <c r="I11" s="50" t="str">
        <v/>
      </c>
      <c r="J11" s="50" t="str">
        <v/>
      </c>
      <c r="K11" s="50" t="str">
        <v/>
      </c>
      <c r="L11" s="50" t="str">
        <v/>
      </c>
      <c r="M11" s="50" t="str">
        <v/>
      </c>
      <c r="N11" s="50" t="str">
        <v/>
      </c>
      <c r="O11" s="50" t="str">
        <v/>
      </c>
      <c r="P11" s="50" t="str">
        <v/>
      </c>
      <c r="Q11" s="50" t="str">
        <v/>
      </c>
      <c r="R11" s="50" t="str">
        <v/>
      </c>
      <c r="S11" s="50" t="str">
        <v/>
      </c>
      <c r="T11" s="50" t="str">
        <v/>
      </c>
      <c r="U11" s="50" t="str">
        <v/>
      </c>
      <c r="V11" s="50" t="str">
        <v/>
      </c>
      <c r="W11" s="50" t="str">
        <v/>
      </c>
      <c r="X11" s="50" t="str">
        <v/>
      </c>
      <c r="Y11" s="50" t="str">
        <v/>
      </c>
      <c r="Z11" s="50" t="str">
        <v/>
      </c>
      <c r="AA11" s="50" t="str">
        <v/>
      </c>
      <c r="AB11" s="50" t="str">
        <v/>
      </c>
      <c r="AC11" s="51" t="str">
        <v/>
      </c>
      <c r="AF11" s="113"/>
      <c r="AG11" s="18"/>
      <c r="AH11" s="18"/>
      <c r="AI11" s="18"/>
      <c r="AJ11" s="18"/>
      <c r="AK11" s="18"/>
      <c r="AL11" s="18"/>
      <c r="AM11" s="18"/>
      <c r="AN11" s="18"/>
      <c r="AO11" s="18"/>
      <c r="AP11" s="18"/>
      <c r="AQ11" s="18"/>
      <c r="AR11" s="18"/>
      <c r="AS11" s="18"/>
      <c r="AT11" s="18"/>
      <c r="AU11" s="18"/>
      <c r="AV11" s="18"/>
      <c r="AW11" s="18"/>
      <c r="AX11" s="18"/>
      <c r="AY11" s="114"/>
    </row>
    <row r="12" spans="1:51" ht="15.75" thickBot="1" x14ac:dyDescent="0.3">
      <c r="A12" s="309" t="str">
        <f>IF('Player Manager'!CM13="","",'Player Manager'!CM11)</f>
        <v>Jorell</v>
      </c>
      <c r="B12" s="310"/>
      <c r="C12" s="310"/>
      <c r="D12" s="310"/>
      <c r="E12" s="310"/>
      <c r="F12" s="257">
        <f ca="1">IF(A12="","",'Player Manager'!CD15)</f>
        <v>13</v>
      </c>
      <c r="G12" s="306"/>
      <c r="H12" s="52">
        <f t="array" aca="1" ref="H12:AC12" ca="1">GetCreaturePlayer(F12,PlayerToCreature[])</f>
        <v>12</v>
      </c>
      <c r="I12" s="53">
        <f ca="1"/>
        <v>12</v>
      </c>
      <c r="J12" s="53">
        <f ca="1"/>
        <v>12</v>
      </c>
      <c r="K12" s="53">
        <f ca="1"/>
        <v>9</v>
      </c>
      <c r="L12" s="53">
        <f ca="1"/>
        <v>4</v>
      </c>
      <c r="M12" s="53">
        <f ca="1"/>
        <v>2</v>
      </c>
      <c r="N12" s="53">
        <f ca="1"/>
        <v>2</v>
      </c>
      <c r="O12" s="53">
        <f ca="1"/>
        <v>1</v>
      </c>
      <c r="P12" s="53">
        <f ca="1"/>
        <v>1</v>
      </c>
      <c r="Q12" s="53" t="str">
        <f ca="1"/>
        <v>1/2</v>
      </c>
      <c r="R12" s="53" t="str">
        <f ca="1"/>
        <v>1/2</v>
      </c>
      <c r="S12" s="53" t="str">
        <f ca="1"/>
        <v>1/3</v>
      </c>
      <c r="T12" s="53" t="str">
        <f ca="1"/>
        <v>1/3</v>
      </c>
      <c r="U12" s="53" t="str">
        <f ca="1"/>
        <v>1/4</v>
      </c>
      <c r="V12" s="53" t="str">
        <f ca="1"/>
        <v>1/5</v>
      </c>
      <c r="W12" s="53" t="str">
        <f ca="1"/>
        <v>1/6</v>
      </c>
      <c r="X12" s="53">
        <f ca="1"/>
        <v>0</v>
      </c>
      <c r="Y12" s="53">
        <f ca="1"/>
        <v>0</v>
      </c>
      <c r="Z12" s="53">
        <f ca="1"/>
        <v>0</v>
      </c>
      <c r="AA12" s="53">
        <f ca="1"/>
        <v>0</v>
      </c>
      <c r="AB12" s="53">
        <f ca="1"/>
        <v>0</v>
      </c>
      <c r="AC12" s="54">
        <f ca="1"/>
        <v>0</v>
      </c>
      <c r="AF12" s="111"/>
      <c r="AG12" s="24"/>
      <c r="AH12" s="24"/>
      <c r="AI12" s="24"/>
      <c r="AJ12" s="24"/>
      <c r="AK12" s="24"/>
      <c r="AL12" s="24"/>
      <c r="AM12" s="24"/>
      <c r="AN12" s="24"/>
      <c r="AO12" s="24"/>
      <c r="AP12" s="24"/>
      <c r="AQ12" s="24"/>
      <c r="AR12" s="24"/>
      <c r="AS12" s="24"/>
      <c r="AT12" s="24"/>
      <c r="AU12" s="24"/>
      <c r="AV12" s="24"/>
      <c r="AW12" s="24"/>
      <c r="AX12" s="24"/>
      <c r="AY12" s="112"/>
    </row>
    <row r="13" spans="1:51" ht="15" customHeight="1" x14ac:dyDescent="0.25">
      <c r="A13" s="60"/>
      <c r="B13" s="60"/>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row>
    <row r="14" spans="1:51" ht="15" hidden="1" customHeight="1" x14ac:dyDescent="0.25">
      <c r="A14" s="17"/>
      <c r="B14" s="17"/>
      <c r="C14" s="17"/>
      <c r="D14" s="17"/>
      <c r="E14" s="17"/>
      <c r="F14" s="17"/>
      <c r="G14" s="17"/>
      <c r="H14" s="56">
        <f ca="1">IFERROR(FractionToDecimal(H3),0)</f>
        <v>3</v>
      </c>
      <c r="I14" s="57">
        <f t="shared" ref="I14:AC23" ca="1" si="0">IFERROR(FractionToDecimal(I3),0)</f>
        <v>2</v>
      </c>
      <c r="J14" s="57">
        <f t="shared" ca="1" si="0"/>
        <v>1</v>
      </c>
      <c r="K14" s="57">
        <f t="shared" ca="1" si="0"/>
        <v>0.33333333333333331</v>
      </c>
      <c r="L14" s="57">
        <f t="shared" ca="1" si="0"/>
        <v>0.16666666666666666</v>
      </c>
      <c r="M14" s="57">
        <f t="shared" ca="1" si="0"/>
        <v>0</v>
      </c>
      <c r="N14" s="57">
        <f t="shared" ca="1" si="0"/>
        <v>0</v>
      </c>
      <c r="O14" s="57">
        <f t="shared" ca="1" si="0"/>
        <v>0</v>
      </c>
      <c r="P14" s="57">
        <f t="shared" ca="1" si="0"/>
        <v>0</v>
      </c>
      <c r="Q14" s="57">
        <f t="shared" ca="1" si="0"/>
        <v>0</v>
      </c>
      <c r="R14" s="57">
        <f t="shared" ca="1" si="0"/>
        <v>0</v>
      </c>
      <c r="S14" s="57">
        <f t="shared" ca="1" si="0"/>
        <v>0</v>
      </c>
      <c r="T14" s="57">
        <f t="shared" ca="1" si="0"/>
        <v>0</v>
      </c>
      <c r="U14" s="57">
        <f t="shared" ca="1" si="0"/>
        <v>0</v>
      </c>
      <c r="V14" s="57">
        <f t="shared" ca="1" si="0"/>
        <v>0</v>
      </c>
      <c r="W14" s="57">
        <f t="shared" ca="1" si="0"/>
        <v>0</v>
      </c>
      <c r="X14" s="57">
        <f t="shared" ca="1" si="0"/>
        <v>0</v>
      </c>
      <c r="Y14" s="57">
        <f t="shared" ca="1" si="0"/>
        <v>0</v>
      </c>
      <c r="Z14" s="57">
        <f t="shared" ca="1" si="0"/>
        <v>0</v>
      </c>
      <c r="AA14" s="57">
        <f t="shared" ca="1" si="0"/>
        <v>0</v>
      </c>
      <c r="AB14" s="57">
        <f t="shared" ca="1" si="0"/>
        <v>0</v>
      </c>
      <c r="AC14" s="58">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49">
        <f t="shared" ref="H15:W23" si="1">IFERROR(FractionToDecimal(H4),0)</f>
        <v>0</v>
      </c>
      <c r="I15" s="50">
        <f t="shared" si="1"/>
        <v>0</v>
      </c>
      <c r="J15" s="50">
        <f t="shared" si="1"/>
        <v>0</v>
      </c>
      <c r="K15" s="50">
        <f t="shared" si="1"/>
        <v>0</v>
      </c>
      <c r="L15" s="50">
        <f t="shared" si="1"/>
        <v>0</v>
      </c>
      <c r="M15" s="50">
        <f t="shared" si="1"/>
        <v>0</v>
      </c>
      <c r="N15" s="50">
        <f t="shared" si="1"/>
        <v>0</v>
      </c>
      <c r="O15" s="50">
        <f t="shared" si="1"/>
        <v>0</v>
      </c>
      <c r="P15" s="50">
        <f t="shared" si="1"/>
        <v>0</v>
      </c>
      <c r="Q15" s="50">
        <f t="shared" si="1"/>
        <v>0</v>
      </c>
      <c r="R15" s="50">
        <f t="shared" si="1"/>
        <v>0</v>
      </c>
      <c r="S15" s="50">
        <f t="shared" si="1"/>
        <v>0</v>
      </c>
      <c r="T15" s="50">
        <f t="shared" si="1"/>
        <v>0</v>
      </c>
      <c r="U15" s="50">
        <f t="shared" si="1"/>
        <v>0</v>
      </c>
      <c r="V15" s="50">
        <f t="shared" si="1"/>
        <v>0</v>
      </c>
      <c r="W15" s="50">
        <f t="shared" si="1"/>
        <v>0</v>
      </c>
      <c r="X15" s="50">
        <f t="shared" si="0"/>
        <v>0</v>
      </c>
      <c r="Y15" s="50">
        <f t="shared" si="0"/>
        <v>0</v>
      </c>
      <c r="Z15" s="50">
        <f t="shared" si="0"/>
        <v>0</v>
      </c>
      <c r="AA15" s="50">
        <f t="shared" si="0"/>
        <v>0</v>
      </c>
      <c r="AB15" s="50">
        <f t="shared" si="0"/>
        <v>0</v>
      </c>
      <c r="AC15" s="51">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49">
        <f t="shared" ca="1" si="1"/>
        <v>12</v>
      </c>
      <c r="I16" s="50">
        <f t="shared" ca="1" si="0"/>
        <v>12</v>
      </c>
      <c r="J16" s="50">
        <f t="shared" ca="1" si="0"/>
        <v>12</v>
      </c>
      <c r="K16" s="50">
        <f t="shared" ca="1" si="0"/>
        <v>12</v>
      </c>
      <c r="L16" s="50">
        <f t="shared" ca="1" si="0"/>
        <v>5</v>
      </c>
      <c r="M16" s="50">
        <f t="shared" ca="1" si="0"/>
        <v>3</v>
      </c>
      <c r="N16" s="50">
        <f t="shared" ca="1" si="0"/>
        <v>2</v>
      </c>
      <c r="O16" s="50">
        <f t="shared" ca="1" si="0"/>
        <v>1</v>
      </c>
      <c r="P16" s="50">
        <f t="shared" ca="1" si="0"/>
        <v>1</v>
      </c>
      <c r="Q16" s="50">
        <f t="shared" ca="1" si="0"/>
        <v>1</v>
      </c>
      <c r="R16" s="50">
        <f t="shared" ca="1" si="0"/>
        <v>0.5</v>
      </c>
      <c r="S16" s="50">
        <f t="shared" ca="1" si="0"/>
        <v>0.5</v>
      </c>
      <c r="T16" s="50">
        <f t="shared" ca="1" si="0"/>
        <v>0.33333333333333331</v>
      </c>
      <c r="U16" s="50">
        <f t="shared" ca="1" si="0"/>
        <v>0.33333333333333331</v>
      </c>
      <c r="V16" s="50">
        <f t="shared" ca="1" si="0"/>
        <v>0.25</v>
      </c>
      <c r="W16" s="50">
        <f t="shared" ca="1" si="0"/>
        <v>0.2</v>
      </c>
      <c r="X16" s="50">
        <f t="shared" ca="1" si="0"/>
        <v>0.2</v>
      </c>
      <c r="Y16" s="50">
        <f t="shared" ca="1" si="0"/>
        <v>0.16666666666666666</v>
      </c>
      <c r="Z16" s="50">
        <f t="shared" ca="1" si="0"/>
        <v>0</v>
      </c>
      <c r="AA16" s="50">
        <f t="shared" ca="1" si="0"/>
        <v>0</v>
      </c>
      <c r="AB16" s="50">
        <f t="shared" ca="1" si="0"/>
        <v>0</v>
      </c>
      <c r="AC16" s="51">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49">
        <f t="shared" ca="1" si="1"/>
        <v>12</v>
      </c>
      <c r="I17" s="50">
        <f t="shared" ca="1" si="0"/>
        <v>12</v>
      </c>
      <c r="J17" s="50">
        <f t="shared" ca="1" si="0"/>
        <v>12</v>
      </c>
      <c r="K17" s="50">
        <f t="shared" ca="1" si="0"/>
        <v>12</v>
      </c>
      <c r="L17" s="50">
        <f t="shared" ca="1" si="0"/>
        <v>8</v>
      </c>
      <c r="M17" s="50">
        <f t="shared" ca="1" si="0"/>
        <v>5</v>
      </c>
      <c r="N17" s="50">
        <f t="shared" ca="1" si="0"/>
        <v>3</v>
      </c>
      <c r="O17" s="50">
        <f t="shared" ca="1" si="0"/>
        <v>2</v>
      </c>
      <c r="P17" s="50">
        <f t="shared" ca="1" si="0"/>
        <v>2</v>
      </c>
      <c r="Q17" s="50">
        <f t="shared" ca="1" si="0"/>
        <v>1</v>
      </c>
      <c r="R17" s="50">
        <f t="shared" ca="1" si="0"/>
        <v>1</v>
      </c>
      <c r="S17" s="50">
        <f t="shared" ca="1" si="0"/>
        <v>1</v>
      </c>
      <c r="T17" s="50">
        <f t="shared" ca="1" si="0"/>
        <v>0.5</v>
      </c>
      <c r="U17" s="50">
        <f t="shared" ca="1" si="0"/>
        <v>0.5</v>
      </c>
      <c r="V17" s="50">
        <f t="shared" ca="1" si="0"/>
        <v>0.5</v>
      </c>
      <c r="W17" s="50">
        <f t="shared" ca="1" si="0"/>
        <v>0.33333333333333331</v>
      </c>
      <c r="X17" s="50">
        <f t="shared" ca="1" si="0"/>
        <v>0.33333333333333331</v>
      </c>
      <c r="Y17" s="50">
        <f t="shared" ca="1" si="0"/>
        <v>0.25</v>
      </c>
      <c r="Z17" s="50">
        <f t="shared" ca="1" si="0"/>
        <v>0.25</v>
      </c>
      <c r="AA17" s="50">
        <f t="shared" ca="1" si="0"/>
        <v>0.2</v>
      </c>
      <c r="AB17" s="50">
        <f t="shared" ca="1" si="0"/>
        <v>0.16666666666666666</v>
      </c>
      <c r="AC17" s="51">
        <f t="shared" ca="1" si="0"/>
        <v>0.16666666666666666</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49">
        <f t="shared" ca="1" si="1"/>
        <v>2</v>
      </c>
      <c r="I18" s="50">
        <f t="shared" ca="1" si="0"/>
        <v>1</v>
      </c>
      <c r="J18" s="50">
        <f t="shared" ca="1" si="0"/>
        <v>0.33333333333333331</v>
      </c>
      <c r="K18" s="50">
        <f t="shared" ca="1" si="0"/>
        <v>0.2</v>
      </c>
      <c r="L18" s="50">
        <f t="shared" ca="1" si="0"/>
        <v>0</v>
      </c>
      <c r="M18" s="50">
        <f t="shared" ca="1" si="0"/>
        <v>0</v>
      </c>
      <c r="N18" s="50">
        <f t="shared" ca="1" si="0"/>
        <v>0</v>
      </c>
      <c r="O18" s="50">
        <f t="shared" ca="1" si="0"/>
        <v>0</v>
      </c>
      <c r="P18" s="50">
        <f t="shared" ca="1" si="0"/>
        <v>0</v>
      </c>
      <c r="Q18" s="50">
        <f t="shared" ca="1" si="0"/>
        <v>0</v>
      </c>
      <c r="R18" s="50">
        <f t="shared" ca="1" si="0"/>
        <v>0</v>
      </c>
      <c r="S18" s="50">
        <f t="shared" ca="1" si="0"/>
        <v>0</v>
      </c>
      <c r="T18" s="50">
        <f t="shared" ca="1" si="0"/>
        <v>0</v>
      </c>
      <c r="U18" s="50">
        <f t="shared" ca="1" si="0"/>
        <v>0</v>
      </c>
      <c r="V18" s="50">
        <f t="shared" ca="1" si="0"/>
        <v>0</v>
      </c>
      <c r="W18" s="50">
        <f t="shared" ca="1" si="0"/>
        <v>0</v>
      </c>
      <c r="X18" s="50">
        <f t="shared" ca="1" si="0"/>
        <v>0</v>
      </c>
      <c r="Y18" s="50">
        <f t="shared" ca="1" si="0"/>
        <v>0</v>
      </c>
      <c r="Z18" s="50">
        <f t="shared" ca="1" si="0"/>
        <v>0</v>
      </c>
      <c r="AA18" s="50">
        <f t="shared" ca="1" si="0"/>
        <v>0</v>
      </c>
      <c r="AB18" s="50">
        <f t="shared" ca="1" si="0"/>
        <v>0</v>
      </c>
      <c r="AC18" s="51">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49">
        <f t="shared" si="1"/>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1">
        <f t="shared"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49">
        <f t="shared" si="1"/>
        <v>0</v>
      </c>
      <c r="I20" s="50">
        <f t="shared" si="0"/>
        <v>0</v>
      </c>
      <c r="J20" s="50">
        <f t="shared" si="0"/>
        <v>0</v>
      </c>
      <c r="K20" s="50">
        <f t="shared" si="0"/>
        <v>0</v>
      </c>
      <c r="L20" s="50">
        <f t="shared" si="0"/>
        <v>0</v>
      </c>
      <c r="M20" s="50">
        <f t="shared" si="0"/>
        <v>0</v>
      </c>
      <c r="N20" s="50">
        <f t="shared" si="0"/>
        <v>0</v>
      </c>
      <c r="O20" s="50">
        <f t="shared" si="0"/>
        <v>0</v>
      </c>
      <c r="P20" s="50">
        <f t="shared" si="0"/>
        <v>0</v>
      </c>
      <c r="Q20" s="50">
        <f t="shared" si="0"/>
        <v>0</v>
      </c>
      <c r="R20" s="50">
        <f t="shared" si="0"/>
        <v>0</v>
      </c>
      <c r="S20" s="50">
        <f t="shared" si="0"/>
        <v>0</v>
      </c>
      <c r="T20" s="50">
        <f t="shared" si="0"/>
        <v>0</v>
      </c>
      <c r="U20" s="50">
        <f t="shared" si="0"/>
        <v>0</v>
      </c>
      <c r="V20" s="50">
        <f t="shared" si="0"/>
        <v>0</v>
      </c>
      <c r="W20" s="50">
        <f t="shared" si="0"/>
        <v>0</v>
      </c>
      <c r="X20" s="50">
        <f t="shared" si="0"/>
        <v>0</v>
      </c>
      <c r="Y20" s="50">
        <f t="shared" si="0"/>
        <v>0</v>
      </c>
      <c r="Z20" s="50">
        <f t="shared" si="0"/>
        <v>0</v>
      </c>
      <c r="AA20" s="50">
        <f t="shared" si="0"/>
        <v>0</v>
      </c>
      <c r="AB20" s="50">
        <f t="shared" si="0"/>
        <v>0</v>
      </c>
      <c r="AC20" s="51">
        <f t="shared"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49">
        <f t="shared" ca="1" si="1"/>
        <v>12</v>
      </c>
      <c r="I21" s="50">
        <f t="shared" ca="1" si="0"/>
        <v>12</v>
      </c>
      <c r="J21" s="50">
        <f t="shared" ca="1" si="0"/>
        <v>12</v>
      </c>
      <c r="K21" s="50">
        <f t="shared" ca="1" si="0"/>
        <v>8</v>
      </c>
      <c r="L21" s="50">
        <f t="shared" ca="1" si="0"/>
        <v>3</v>
      </c>
      <c r="M21" s="50">
        <f t="shared" ca="1" si="0"/>
        <v>2</v>
      </c>
      <c r="N21" s="50">
        <f t="shared" ca="1" si="0"/>
        <v>1</v>
      </c>
      <c r="O21" s="50">
        <f t="shared" ca="1" si="0"/>
        <v>1</v>
      </c>
      <c r="P21" s="50">
        <f t="shared" ca="1" si="0"/>
        <v>0.5</v>
      </c>
      <c r="Q21" s="50">
        <f t="shared" ca="1" si="0"/>
        <v>0.5</v>
      </c>
      <c r="R21" s="50">
        <f t="shared" ca="1" si="0"/>
        <v>0.33333333333333331</v>
      </c>
      <c r="S21" s="50">
        <f t="shared" ca="1" si="0"/>
        <v>0.33333333333333331</v>
      </c>
      <c r="T21" s="50">
        <f t="shared" ca="1" si="0"/>
        <v>0.25</v>
      </c>
      <c r="U21" s="50">
        <f t="shared" ca="1" si="0"/>
        <v>0.2</v>
      </c>
      <c r="V21" s="50">
        <f t="shared" ca="1" si="0"/>
        <v>0.16666666666666666</v>
      </c>
      <c r="W21" s="50">
        <f t="shared" ca="1" si="0"/>
        <v>0</v>
      </c>
      <c r="X21" s="50">
        <f t="shared" ca="1" si="0"/>
        <v>0</v>
      </c>
      <c r="Y21" s="50">
        <f t="shared" ca="1" si="0"/>
        <v>0</v>
      </c>
      <c r="Z21" s="50">
        <f t="shared" ca="1" si="0"/>
        <v>0</v>
      </c>
      <c r="AA21" s="50">
        <f t="shared" ca="1" si="0"/>
        <v>0</v>
      </c>
      <c r="AB21" s="50">
        <f t="shared" ca="1" si="0"/>
        <v>0</v>
      </c>
      <c r="AC21" s="51">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49">
        <f t="shared" si="1"/>
        <v>0</v>
      </c>
      <c r="I22" s="50">
        <f t="shared" si="0"/>
        <v>0</v>
      </c>
      <c r="J22" s="50">
        <f t="shared" si="0"/>
        <v>0</v>
      </c>
      <c r="K22" s="50">
        <f t="shared" si="0"/>
        <v>0</v>
      </c>
      <c r="L22" s="50">
        <f t="shared" si="0"/>
        <v>0</v>
      </c>
      <c r="M22" s="50">
        <f t="shared" si="0"/>
        <v>0</v>
      </c>
      <c r="N22" s="50">
        <f t="shared" si="0"/>
        <v>0</v>
      </c>
      <c r="O22" s="50">
        <f t="shared" si="0"/>
        <v>0</v>
      </c>
      <c r="P22" s="50">
        <f t="shared" si="0"/>
        <v>0</v>
      </c>
      <c r="Q22" s="50">
        <f t="shared" si="0"/>
        <v>0</v>
      </c>
      <c r="R22" s="50">
        <f t="shared" si="0"/>
        <v>0</v>
      </c>
      <c r="S22" s="50">
        <f t="shared" si="0"/>
        <v>0</v>
      </c>
      <c r="T22" s="50">
        <f t="shared" si="0"/>
        <v>0</v>
      </c>
      <c r="U22" s="50">
        <f t="shared" si="0"/>
        <v>0</v>
      </c>
      <c r="V22" s="50">
        <f t="shared" si="0"/>
        <v>0</v>
      </c>
      <c r="W22" s="50">
        <f t="shared" si="0"/>
        <v>0</v>
      </c>
      <c r="X22" s="50">
        <f t="shared" si="0"/>
        <v>0</v>
      </c>
      <c r="Y22" s="50">
        <f t="shared" si="0"/>
        <v>0</v>
      </c>
      <c r="Z22" s="50">
        <f t="shared" si="0"/>
        <v>0</v>
      </c>
      <c r="AA22" s="50">
        <f t="shared" si="0"/>
        <v>0</v>
      </c>
      <c r="AB22" s="50">
        <f t="shared" si="0"/>
        <v>0</v>
      </c>
      <c r="AC22" s="51">
        <f t="shared"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52">
        <f t="shared" ca="1" si="1"/>
        <v>12</v>
      </c>
      <c r="I23" s="53">
        <f t="shared" ca="1" si="0"/>
        <v>12</v>
      </c>
      <c r="J23" s="53">
        <f t="shared" ca="1" si="0"/>
        <v>12</v>
      </c>
      <c r="K23" s="53">
        <f t="shared" ca="1" si="0"/>
        <v>9</v>
      </c>
      <c r="L23" s="53">
        <f t="shared" ca="1" si="0"/>
        <v>4</v>
      </c>
      <c r="M23" s="53">
        <f t="shared" ca="1" si="0"/>
        <v>2</v>
      </c>
      <c r="N23" s="53">
        <f t="shared" ca="1" si="0"/>
        <v>2</v>
      </c>
      <c r="O23" s="53">
        <f t="shared" ca="1" si="0"/>
        <v>1</v>
      </c>
      <c r="P23" s="53">
        <f t="shared" ca="1" si="0"/>
        <v>1</v>
      </c>
      <c r="Q23" s="53">
        <f t="shared" ca="1" si="0"/>
        <v>0.5</v>
      </c>
      <c r="R23" s="53">
        <f t="shared" ca="1" si="0"/>
        <v>0.5</v>
      </c>
      <c r="S23" s="53">
        <f t="shared" ca="1" si="0"/>
        <v>0.33333333333333331</v>
      </c>
      <c r="T23" s="53">
        <f t="shared" ca="1" si="0"/>
        <v>0.33333333333333331</v>
      </c>
      <c r="U23" s="53">
        <f t="shared" ca="1" si="0"/>
        <v>0.25</v>
      </c>
      <c r="V23" s="53">
        <f t="shared" ca="1" si="0"/>
        <v>0.2</v>
      </c>
      <c r="W23" s="53">
        <f t="shared" ca="1" si="0"/>
        <v>0.16666666666666666</v>
      </c>
      <c r="X23" s="53">
        <f t="shared" ca="1" si="0"/>
        <v>0</v>
      </c>
      <c r="Y23" s="53">
        <f t="shared" ca="1" si="0"/>
        <v>0</v>
      </c>
      <c r="Z23" s="53">
        <f t="shared" ca="1" si="0"/>
        <v>0</v>
      </c>
      <c r="AA23" s="53">
        <f t="shared" ca="1" si="0"/>
        <v>0</v>
      </c>
      <c r="AB23" s="53">
        <f t="shared" ca="1" si="0"/>
        <v>0</v>
      </c>
      <c r="AC23" s="54">
        <f t="shared" ca="1"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317" t="s">
        <v>1142</v>
      </c>
      <c r="I25" s="318"/>
      <c r="J25" s="317" t="s">
        <v>1143</v>
      </c>
      <c r="K25" s="318"/>
      <c r="L25" s="317" t="s">
        <v>1144</v>
      </c>
      <c r="M25" s="318"/>
      <c r="N25" s="317">
        <v>1</v>
      </c>
      <c r="O25" s="318"/>
      <c r="P25" s="317">
        <v>2</v>
      </c>
      <c r="Q25" s="318"/>
      <c r="R25" s="317">
        <v>3</v>
      </c>
      <c r="S25" s="318"/>
      <c r="T25" s="317">
        <v>4</v>
      </c>
      <c r="U25" s="318"/>
      <c r="V25" s="317">
        <v>5</v>
      </c>
      <c r="W25" s="318"/>
      <c r="X25" s="317">
        <v>7</v>
      </c>
      <c r="Y25" s="318"/>
      <c r="Z25" s="317">
        <v>8</v>
      </c>
      <c r="AA25" s="318"/>
      <c r="AB25" s="317">
        <v>9</v>
      </c>
      <c r="AC25" s="318"/>
      <c r="AD25" s="317">
        <v>10</v>
      </c>
      <c r="AE25" s="318"/>
      <c r="AF25" s="317">
        <v>11</v>
      </c>
      <c r="AG25" s="318"/>
      <c r="AH25" s="317">
        <v>12</v>
      </c>
      <c r="AI25" s="318"/>
      <c r="AJ25" s="317">
        <v>13</v>
      </c>
      <c r="AK25" s="318"/>
      <c r="AL25" s="317">
        <v>14</v>
      </c>
      <c r="AM25" s="318"/>
      <c r="AN25" s="317">
        <v>15</v>
      </c>
      <c r="AO25" s="318"/>
      <c r="AP25" s="317">
        <v>16</v>
      </c>
      <c r="AQ25" s="318"/>
      <c r="AR25" s="317">
        <v>17</v>
      </c>
      <c r="AS25" s="318"/>
      <c r="AT25" s="317">
        <v>18</v>
      </c>
      <c r="AU25" s="318"/>
      <c r="AV25" s="317">
        <v>19</v>
      </c>
      <c r="AW25" s="318"/>
      <c r="AX25" s="317">
        <v>20</v>
      </c>
      <c r="AY25" s="318"/>
    </row>
    <row r="26" spans="1:51" ht="15" customHeight="1" thickBot="1" x14ac:dyDescent="0.3">
      <c r="A26" s="316" t="s">
        <v>1455</v>
      </c>
      <c r="B26" s="316"/>
      <c r="C26" s="316"/>
      <c r="D26" s="316"/>
      <c r="E26" s="316"/>
      <c r="F26" s="316"/>
      <c r="G26" s="325"/>
      <c r="H26" s="319">
        <f ca="1">SUM(H14:H23)</f>
        <v>53</v>
      </c>
      <c r="I26" s="320"/>
      <c r="J26" s="321">
        <f ca="1">SUM(I14:I23)</f>
        <v>51</v>
      </c>
      <c r="K26" s="320"/>
      <c r="L26" s="321">
        <f ca="1">SUM(J14:J23)</f>
        <v>49.333333333333329</v>
      </c>
      <c r="M26" s="320"/>
      <c r="N26" s="321">
        <f ca="1">SUM(K14:K23)</f>
        <v>41.533333333333331</v>
      </c>
      <c r="O26" s="320"/>
      <c r="P26" s="321">
        <f ca="1">SUM(L14:L23)</f>
        <v>20.166666666666668</v>
      </c>
      <c r="Q26" s="320"/>
      <c r="R26" s="321">
        <f ca="1">SUM(M14:M23)</f>
        <v>12</v>
      </c>
      <c r="S26" s="320"/>
      <c r="T26" s="321">
        <f ca="1">SUM(N14:N23)</f>
        <v>8</v>
      </c>
      <c r="U26" s="320"/>
      <c r="V26" s="321">
        <f ca="1">SUM(O14:O23)</f>
        <v>5</v>
      </c>
      <c r="W26" s="320"/>
      <c r="X26" s="321">
        <f ca="1">SUM(P14:P23)</f>
        <v>4.5</v>
      </c>
      <c r="Y26" s="320"/>
      <c r="Z26" s="321">
        <f ca="1">SUM(Q14:Q23)</f>
        <v>3</v>
      </c>
      <c r="AA26" s="320"/>
      <c r="AB26" s="321">
        <f ca="1">SUM(R14:R23)</f>
        <v>2.333333333333333</v>
      </c>
      <c r="AC26" s="320"/>
      <c r="AD26" s="321">
        <f ca="1">SUM(S14:S23)</f>
        <v>2.1666666666666665</v>
      </c>
      <c r="AE26" s="320"/>
      <c r="AF26" s="321">
        <f ca="1">SUM(T14:T23)</f>
        <v>1.4166666666666665</v>
      </c>
      <c r="AG26" s="320"/>
      <c r="AH26" s="321">
        <f ca="1">SUM(U14:U23)</f>
        <v>1.2833333333333332</v>
      </c>
      <c r="AI26" s="320"/>
      <c r="AJ26" s="321">
        <f ca="1">SUM(V14:V23)</f>
        <v>1.1166666666666667</v>
      </c>
      <c r="AK26" s="320"/>
      <c r="AL26" s="321">
        <f ca="1">SUM(W14:W23)</f>
        <v>0.7</v>
      </c>
      <c r="AM26" s="320"/>
      <c r="AN26" s="321">
        <f ca="1">SUM(X14:X23)</f>
        <v>0.53333333333333333</v>
      </c>
      <c r="AO26" s="320"/>
      <c r="AP26" s="321">
        <f ca="1">SUM(Y14:Y23)</f>
        <v>0.41666666666666663</v>
      </c>
      <c r="AQ26" s="320"/>
      <c r="AR26" s="321">
        <f ca="1">SUM(Z14:Z23)</f>
        <v>0.25</v>
      </c>
      <c r="AS26" s="320"/>
      <c r="AT26" s="321">
        <f ca="1">SUM(AA14:AA23)</f>
        <v>0.2</v>
      </c>
      <c r="AU26" s="320"/>
      <c r="AV26" s="321">
        <f ca="1">SUM(AB14:AB23)</f>
        <v>0.16666666666666666</v>
      </c>
      <c r="AW26" s="320"/>
      <c r="AX26" s="321">
        <f ca="1">SUM(AC14:AC23)</f>
        <v>0.16666666666666666</v>
      </c>
      <c r="AY26" s="324"/>
    </row>
    <row r="27" spans="1:51" ht="15" hidden="1" customHeight="1" thickBot="1" x14ac:dyDescent="0.3">
      <c r="A27" s="328" t="s">
        <v>1456</v>
      </c>
      <c r="B27" s="328"/>
      <c r="C27" s="328"/>
      <c r="D27" s="328"/>
      <c r="E27" s="328"/>
      <c r="F27" s="328"/>
      <c r="G27" s="328"/>
      <c r="H27" s="319">
        <f ca="1">IFERROR($H$26/H26,$H$26)</f>
        <v>1</v>
      </c>
      <c r="I27" s="320"/>
      <c r="J27" s="321">
        <f ca="1">IFERROR($H$26/J26,$H$26)</f>
        <v>1.0392156862745099</v>
      </c>
      <c r="K27" s="320"/>
      <c r="L27" s="321">
        <f ca="1">IFERROR($H$26/L26,$H$26)</f>
        <v>1.0743243243243243</v>
      </c>
      <c r="M27" s="320"/>
      <c r="N27" s="321">
        <f t="shared" ref="N27" ca="1" si="2">IFERROR($H$26/N26,$H$26)</f>
        <v>1.2760834670947032</v>
      </c>
      <c r="O27" s="320"/>
      <c r="P27" s="321">
        <f t="shared" ref="P27" ca="1" si="3">IFERROR($H$26/P26,$H$26)</f>
        <v>2.6280991735537187</v>
      </c>
      <c r="Q27" s="320"/>
      <c r="R27" s="321">
        <f t="shared" ref="R27" ca="1" si="4">IFERROR($H$26/R26,$H$26)</f>
        <v>4.416666666666667</v>
      </c>
      <c r="S27" s="320"/>
      <c r="T27" s="321">
        <f t="shared" ref="T27" ca="1" si="5">IFERROR($H$26/T26,$H$26)</f>
        <v>6.625</v>
      </c>
      <c r="U27" s="320"/>
      <c r="V27" s="321">
        <f t="shared" ref="V27" ca="1" si="6">IFERROR($H$26/V26,$H$26)</f>
        <v>10.6</v>
      </c>
      <c r="W27" s="320"/>
      <c r="X27" s="321">
        <f t="shared" ref="X27" ca="1" si="7">IFERROR($H$26/X26,$H$26)</f>
        <v>11.777777777777779</v>
      </c>
      <c r="Y27" s="320"/>
      <c r="Z27" s="321">
        <f t="shared" ref="Z27" ca="1" si="8">IFERROR($H$26/Z26,$H$26)</f>
        <v>17.666666666666668</v>
      </c>
      <c r="AA27" s="320"/>
      <c r="AB27" s="321">
        <f t="shared" ref="AB27" ca="1" si="9">IFERROR($H$26/AB26,$H$26)</f>
        <v>22.714285714285719</v>
      </c>
      <c r="AC27" s="320"/>
      <c r="AD27" s="321">
        <f t="shared" ref="AD27" ca="1" si="10">IFERROR($H$26/AD26,$H$26)</f>
        <v>24.461538461538463</v>
      </c>
      <c r="AE27" s="320"/>
      <c r="AF27" s="321">
        <f t="shared" ref="AF27" ca="1" si="11">IFERROR($H$26/AF26,$H$26)</f>
        <v>37.411764705882355</v>
      </c>
      <c r="AG27" s="320"/>
      <c r="AH27" s="321">
        <f t="shared" ref="AH27" ca="1" si="12">IFERROR($H$26/AH26,$H$26)</f>
        <v>41.298701298701303</v>
      </c>
      <c r="AI27" s="320"/>
      <c r="AJ27" s="321">
        <f t="shared" ref="AJ27" ca="1" si="13">IFERROR($H$26/AJ26,$H$26)</f>
        <v>47.462686567164177</v>
      </c>
      <c r="AK27" s="320"/>
      <c r="AL27" s="321">
        <f t="shared" ref="AL27" ca="1" si="14">IFERROR($H$26/AL26,$H$26)</f>
        <v>75.714285714285722</v>
      </c>
      <c r="AM27" s="320"/>
      <c r="AN27" s="321">
        <f t="shared" ref="AN27" ca="1" si="15">IFERROR($H$26/AN26,$H$26)</f>
        <v>99.375</v>
      </c>
      <c r="AO27" s="320"/>
      <c r="AP27" s="321">
        <f t="shared" ref="AP27" ca="1" si="16">IFERROR($H$26/AP26,$H$26)</f>
        <v>127.20000000000002</v>
      </c>
      <c r="AQ27" s="320"/>
      <c r="AR27" s="321">
        <f t="shared" ref="AR27" ca="1" si="17">IFERROR($H$26/AR26,$H$26)</f>
        <v>212</v>
      </c>
      <c r="AS27" s="320"/>
      <c r="AT27" s="321">
        <f t="shared" ref="AT27" ca="1" si="18">IFERROR($H$26/AT26,$H$26)</f>
        <v>265</v>
      </c>
      <c r="AU27" s="320"/>
      <c r="AV27" s="321">
        <f t="shared" ref="AV27" ca="1" si="19">IFERROR($H$26/AV26,$H$26)</f>
        <v>318</v>
      </c>
      <c r="AW27" s="320"/>
      <c r="AX27" s="321">
        <f t="shared" ref="AX27" ca="1" si="20">IFERROR($H$26/AX26,$H$26)</f>
        <v>318</v>
      </c>
      <c r="AY27" s="324"/>
    </row>
    <row r="28" spans="1:51" ht="15" hidden="1" customHeight="1" thickBot="1" x14ac:dyDescent="0.3">
      <c r="A28" s="264" t="s">
        <v>1458</v>
      </c>
      <c r="B28" s="264"/>
      <c r="C28" s="330">
        <f ca="1">SUM(H28:AY28)</f>
        <v>2</v>
      </c>
      <c r="D28" s="328"/>
      <c r="E28" s="328" t="s">
        <v>1459</v>
      </c>
      <c r="F28" s="328"/>
      <c r="G28" s="329"/>
      <c r="H28" s="319">
        <f ca="1">H29*H27</f>
        <v>2</v>
      </c>
      <c r="I28" s="320"/>
      <c r="J28" s="321">
        <f t="shared" ref="J28" ca="1" si="21">J29*J27</f>
        <v>0</v>
      </c>
      <c r="K28" s="320"/>
      <c r="L28" s="321">
        <f t="shared" ref="L28" ca="1" si="22">L29*L27</f>
        <v>0</v>
      </c>
      <c r="M28" s="320"/>
      <c r="N28" s="321">
        <f t="shared" ref="N28" ca="1" si="23">N29*N27</f>
        <v>0</v>
      </c>
      <c r="O28" s="320"/>
      <c r="P28" s="321">
        <f t="shared" ref="P28" ca="1" si="24">P29*P27</f>
        <v>0</v>
      </c>
      <c r="Q28" s="320"/>
      <c r="R28" s="321">
        <f t="shared" ref="R28" ca="1" si="25">R29*R27</f>
        <v>0</v>
      </c>
      <c r="S28" s="320"/>
      <c r="T28" s="321">
        <f t="shared" ref="T28" ca="1" si="26">T29*T27</f>
        <v>0</v>
      </c>
      <c r="U28" s="320"/>
      <c r="V28" s="321">
        <f t="shared" ref="V28" ca="1" si="27">V29*V27</f>
        <v>0</v>
      </c>
      <c r="W28" s="320"/>
      <c r="X28" s="321">
        <f t="shared" ref="X28" ca="1" si="28">X29*X27</f>
        <v>0</v>
      </c>
      <c r="Y28" s="320"/>
      <c r="Z28" s="321">
        <f t="shared" ref="Z28" ca="1" si="29">Z29*Z27</f>
        <v>0</v>
      </c>
      <c r="AA28" s="320"/>
      <c r="AB28" s="321">
        <f t="shared" ref="AB28" ca="1" si="30">AB29*AB27</f>
        <v>0</v>
      </c>
      <c r="AC28" s="320"/>
      <c r="AD28" s="321">
        <f t="shared" ref="AD28" ca="1" si="31">AD29*AD27</f>
        <v>0</v>
      </c>
      <c r="AE28" s="320"/>
      <c r="AF28" s="321">
        <f t="shared" ref="AF28" ca="1" si="32">AF29*AF27</f>
        <v>0</v>
      </c>
      <c r="AG28" s="320"/>
      <c r="AH28" s="321">
        <f t="shared" ref="AH28" ca="1" si="33">AH29*AH27</f>
        <v>0</v>
      </c>
      <c r="AI28" s="320"/>
      <c r="AJ28" s="321">
        <f t="shared" ref="AJ28" ca="1" si="34">AJ29*AJ27</f>
        <v>0</v>
      </c>
      <c r="AK28" s="320"/>
      <c r="AL28" s="321">
        <f t="shared" ref="AL28" ca="1" si="35">AL29*AL27</f>
        <v>0</v>
      </c>
      <c r="AM28" s="320"/>
      <c r="AN28" s="321">
        <f t="shared" ref="AN28" ca="1" si="36">AN29*AN27</f>
        <v>0</v>
      </c>
      <c r="AO28" s="320"/>
      <c r="AP28" s="321">
        <f t="shared" ref="AP28" ca="1" si="37">AP29*AP27</f>
        <v>0</v>
      </c>
      <c r="AQ28" s="320"/>
      <c r="AR28" s="321">
        <f t="shared" ref="AR28" ca="1" si="38">AR29*AR27</f>
        <v>0</v>
      </c>
      <c r="AS28" s="320"/>
      <c r="AT28" s="321">
        <f t="shared" ref="AT28" ca="1" si="39">AT29*AT27</f>
        <v>0</v>
      </c>
      <c r="AU28" s="320"/>
      <c r="AV28" s="321">
        <f t="shared" ref="AV28" ca="1" si="40">AV29*AV27</f>
        <v>0</v>
      </c>
      <c r="AW28" s="320"/>
      <c r="AX28" s="321">
        <f t="shared" ref="AX28" ca="1" si="41">AX29*AX27</f>
        <v>0</v>
      </c>
      <c r="AY28" s="324"/>
    </row>
    <row r="29" spans="1:51" ht="15" customHeight="1" thickBot="1" x14ac:dyDescent="0.3">
      <c r="A29" s="328" t="s">
        <v>1460</v>
      </c>
      <c r="B29" s="328"/>
      <c r="C29" s="328"/>
      <c r="D29" s="328"/>
      <c r="E29" s="328"/>
      <c r="F29" s="328"/>
      <c r="G29" s="329"/>
      <c r="H29" s="319">
        <f>SUMIF($M$34:$M$63,H25,$K$34:$L$63)</f>
        <v>2</v>
      </c>
      <c r="I29" s="320"/>
      <c r="J29" s="321">
        <f t="shared" ref="J29" si="42">SUMIF($M$34:$M$63,J25,$K$34:$L$63)</f>
        <v>0</v>
      </c>
      <c r="K29" s="320"/>
      <c r="L29" s="321">
        <f t="shared" ref="L29" si="43">SUMIF($M$34:$M$63,L25,$K$34:$L$63)</f>
        <v>0</v>
      </c>
      <c r="M29" s="320"/>
      <c r="N29" s="321">
        <f t="shared" ref="N29" si="44">SUMIF($M$34:$M$63,N25,$K$34:$L$63)</f>
        <v>0</v>
      </c>
      <c r="O29" s="320"/>
      <c r="P29" s="321">
        <f t="shared" ref="P29" si="45">SUMIF($M$34:$M$63,P25,$K$34:$L$63)</f>
        <v>0</v>
      </c>
      <c r="Q29" s="320"/>
      <c r="R29" s="321">
        <f t="shared" ref="R29" si="46">SUMIF($M$34:$M$63,R25,$K$34:$L$63)</f>
        <v>0</v>
      </c>
      <c r="S29" s="320"/>
      <c r="T29" s="321">
        <f t="shared" ref="T29" si="47">SUMIF($M$34:$M$63,T25,$K$34:$L$63)</f>
        <v>0</v>
      </c>
      <c r="U29" s="320"/>
      <c r="V29" s="321">
        <f t="shared" ref="V29" si="48">SUMIF($M$34:$M$63,V25,$K$34:$L$63)</f>
        <v>0</v>
      </c>
      <c r="W29" s="320"/>
      <c r="X29" s="321">
        <f t="shared" ref="X29" si="49">SUMIF($M$34:$M$63,X25,$K$34:$L$63)</f>
        <v>0</v>
      </c>
      <c r="Y29" s="320"/>
      <c r="Z29" s="321">
        <f t="shared" ref="Z29" si="50">SUMIF($M$34:$M$63,Z25,$K$34:$L$63)</f>
        <v>0</v>
      </c>
      <c r="AA29" s="320"/>
      <c r="AB29" s="321">
        <f t="shared" ref="AB29" si="51">SUMIF($M$34:$M$63,AB25,$K$34:$L$63)</f>
        <v>0</v>
      </c>
      <c r="AC29" s="320"/>
      <c r="AD29" s="321">
        <f t="shared" ref="AD29" si="52">SUMIF($M$34:$M$63,AD25,$K$34:$L$63)</f>
        <v>0</v>
      </c>
      <c r="AE29" s="320"/>
      <c r="AF29" s="321">
        <f t="shared" ref="AF29" si="53">SUMIF($M$34:$M$63,AF25,$K$34:$L$63)</f>
        <v>0</v>
      </c>
      <c r="AG29" s="320"/>
      <c r="AH29" s="321">
        <f t="shared" ref="AH29" si="54">SUMIF($M$34:$M$63,AH25,$K$34:$L$63)</f>
        <v>0</v>
      </c>
      <c r="AI29" s="320"/>
      <c r="AJ29" s="321">
        <f t="shared" ref="AJ29" si="55">SUMIF($M$34:$M$63,AJ25,$K$34:$L$63)</f>
        <v>0</v>
      </c>
      <c r="AK29" s="320"/>
      <c r="AL29" s="321">
        <f t="shared" ref="AL29" si="56">SUMIF($M$34:$M$63,AL25,$K$34:$L$63)</f>
        <v>0</v>
      </c>
      <c r="AM29" s="320"/>
      <c r="AN29" s="321">
        <f t="shared" ref="AN29" si="57">SUMIF($M$34:$M$63,AN25,$K$34:$L$63)</f>
        <v>0</v>
      </c>
      <c r="AO29" s="320"/>
      <c r="AP29" s="321">
        <f t="shared" ref="AP29" si="58">SUMIF($M$34:$M$63,AP25,$K$34:$L$63)</f>
        <v>0</v>
      </c>
      <c r="AQ29" s="320"/>
      <c r="AR29" s="321">
        <f t="shared" ref="AR29" si="59">SUMIF($M$34:$M$63,AR25,$K$34:$L$63)</f>
        <v>0</v>
      </c>
      <c r="AS29" s="320"/>
      <c r="AT29" s="321">
        <f t="shared" ref="AT29" si="60">SUMIF($M$34:$M$63,AT25,$K$34:$L$63)</f>
        <v>0</v>
      </c>
      <c r="AU29" s="320"/>
      <c r="AV29" s="321">
        <f t="shared" ref="AV29" si="61">SUMIF($M$34:$M$63,AV25,$K$34:$L$63)</f>
        <v>0</v>
      </c>
      <c r="AW29" s="320"/>
      <c r="AX29" s="321">
        <f>SUMIF($M$34:$M$63,AX25,$K$34:$L$63)</f>
        <v>0</v>
      </c>
      <c r="AY29" s="324"/>
    </row>
    <row r="30" spans="1:51" ht="15" customHeight="1" thickBot="1" x14ac:dyDescent="0.3">
      <c r="A30" s="327" t="s">
        <v>1457</v>
      </c>
      <c r="B30" s="327"/>
      <c r="C30" s="327"/>
      <c r="D30" s="327"/>
      <c r="E30" s="327"/>
      <c r="F30" s="327"/>
      <c r="G30" s="327"/>
      <c r="H30" s="319">
        <f ca="1">H26-$C$28/H27</f>
        <v>51</v>
      </c>
      <c r="I30" s="320"/>
      <c r="J30" s="321">
        <f t="shared" ref="J30" ca="1" si="62">J26-$C$28/J27</f>
        <v>49.075471698113205</v>
      </c>
      <c r="K30" s="320"/>
      <c r="L30" s="321">
        <f t="shared" ref="L30" ca="1" si="63">L26-$C$28/L27</f>
        <v>47.471698113207545</v>
      </c>
      <c r="M30" s="320"/>
      <c r="N30" s="321">
        <f t="shared" ref="N30" ca="1" si="64">N26-$C$28/N27</f>
        <v>39.966037735849056</v>
      </c>
      <c r="O30" s="320"/>
      <c r="P30" s="321">
        <f t="shared" ref="P30" ca="1" si="65">P26-$C$28/P27</f>
        <v>19.40566037735849</v>
      </c>
      <c r="Q30" s="320"/>
      <c r="R30" s="321">
        <f t="shared" ref="R30" ca="1" si="66">R26-$C$28/R27</f>
        <v>11.547169811320755</v>
      </c>
      <c r="S30" s="320"/>
      <c r="T30" s="321">
        <f t="shared" ref="T30" ca="1" si="67">T26-$C$28/T27</f>
        <v>7.6981132075471699</v>
      </c>
      <c r="U30" s="320"/>
      <c r="V30" s="321">
        <f t="shared" ref="V30" ca="1" si="68">V26-$C$28/V27</f>
        <v>4.8113207547169807</v>
      </c>
      <c r="W30" s="320"/>
      <c r="X30" s="321">
        <f t="shared" ref="X30" ca="1" si="69">X26-$C$28/X27</f>
        <v>4.3301886792452828</v>
      </c>
      <c r="Y30" s="320"/>
      <c r="Z30" s="321">
        <f t="shared" ref="Z30" ca="1" si="70">Z26-$C$28/Z27</f>
        <v>2.8867924528301887</v>
      </c>
      <c r="AA30" s="320"/>
      <c r="AB30" s="321">
        <f t="shared" ref="AB30" ca="1" si="71">AB26-$C$28/AB27</f>
        <v>2.2452830188679243</v>
      </c>
      <c r="AC30" s="320"/>
      <c r="AD30" s="321">
        <f t="shared" ref="AD30" ca="1" si="72">AD26-$C$28/AD27</f>
        <v>2.0849056603773581</v>
      </c>
      <c r="AE30" s="320"/>
      <c r="AF30" s="321">
        <f t="shared" ref="AF30" ca="1" si="73">AF26-$C$28/AF27</f>
        <v>1.3632075471698111</v>
      </c>
      <c r="AG30" s="320"/>
      <c r="AH30" s="321">
        <f t="shared" ref="AH30" ca="1" si="74">AH26-$C$28/AH27</f>
        <v>1.2349056603773583</v>
      </c>
      <c r="AI30" s="320"/>
      <c r="AJ30" s="321">
        <f t="shared" ref="AJ30" ca="1" si="75">AJ26-$C$28/AJ27</f>
        <v>1.0745283018867924</v>
      </c>
      <c r="AK30" s="320"/>
      <c r="AL30" s="321">
        <f t="shared" ref="AL30" ca="1" si="76">AL26-$C$28/AL27</f>
        <v>0.67358490566037732</v>
      </c>
      <c r="AM30" s="320"/>
      <c r="AN30" s="321">
        <f t="shared" ref="AN30" ca="1" si="77">AN26-$C$28/AN27</f>
        <v>0.51320754716981132</v>
      </c>
      <c r="AO30" s="320"/>
      <c r="AP30" s="321">
        <f t="shared" ref="AP30" ca="1" si="78">AP26-$C$28/AP27</f>
        <v>0.40094339622641506</v>
      </c>
      <c r="AQ30" s="320"/>
      <c r="AR30" s="321">
        <f t="shared" ref="AR30" ca="1" si="79">AR26-$C$28/AR27</f>
        <v>0.24056603773584906</v>
      </c>
      <c r="AS30" s="320"/>
      <c r="AT30" s="321">
        <f t="shared" ref="AT30" ca="1" si="80">AT26-$C$28/AT27</f>
        <v>0.19245283018867926</v>
      </c>
      <c r="AU30" s="320"/>
      <c r="AV30" s="321">
        <f t="shared" ref="AV30" ca="1" si="81">AV26-$C$28/AV27</f>
        <v>0.16037735849056603</v>
      </c>
      <c r="AW30" s="320"/>
      <c r="AX30" s="321">
        <f t="shared" ref="AX30" ca="1" si="82">AX26-$C$28/AX27</f>
        <v>0.16037735849056603</v>
      </c>
      <c r="AY30" s="324"/>
    </row>
    <row r="31" spans="1:51" ht="15" customHeight="1" thickBot="1" x14ac:dyDescent="0.3"/>
    <row r="32" spans="1:51" ht="15" customHeight="1" thickBot="1" x14ac:dyDescent="0.3">
      <c r="A32" s="263" t="s">
        <v>1387</v>
      </c>
      <c r="B32" s="264"/>
      <c r="C32" s="264"/>
      <c r="D32" s="264"/>
      <c r="E32" s="264"/>
      <c r="F32" s="264"/>
      <c r="G32" s="264"/>
      <c r="H32" s="264"/>
      <c r="I32" s="264"/>
      <c r="J32" s="264"/>
      <c r="K32" s="265" t="s">
        <v>1388</v>
      </c>
      <c r="L32" s="266"/>
      <c r="M32" s="269" t="s">
        <v>6</v>
      </c>
      <c r="N32" s="270"/>
      <c r="O32" s="271"/>
      <c r="P32" s="240" t="s">
        <v>1389</v>
      </c>
      <c r="Q32" s="241"/>
      <c r="R32" s="241"/>
      <c r="S32" s="241"/>
      <c r="T32" s="241"/>
      <c r="U32" s="272"/>
      <c r="V32" s="273" t="s">
        <v>1390</v>
      </c>
      <c r="W32" s="274"/>
      <c r="X32" s="274"/>
      <c r="Y32" s="274"/>
      <c r="Z32" s="274"/>
      <c r="AA32" s="274"/>
      <c r="AB32" s="240" t="s">
        <v>1391</v>
      </c>
      <c r="AC32" s="241"/>
      <c r="AD32" s="241"/>
      <c r="AE32" s="333"/>
      <c r="AH32" s="68"/>
      <c r="AI32" s="69"/>
      <c r="AJ32" s="69"/>
      <c r="AK32" s="69"/>
      <c r="AL32" s="69"/>
      <c r="AM32" s="69"/>
      <c r="AN32" s="69"/>
      <c r="AO32" s="69"/>
      <c r="AP32" s="69"/>
      <c r="AQ32" s="69"/>
      <c r="AR32" s="69"/>
      <c r="AS32" s="69"/>
      <c r="AT32" s="68"/>
      <c r="AU32" s="69"/>
      <c r="AV32" s="69"/>
      <c r="AW32" s="69"/>
      <c r="AX32" s="69"/>
      <c r="AY32" s="70"/>
    </row>
    <row r="33" spans="1:51" ht="15" hidden="1" customHeight="1" thickBot="1" x14ac:dyDescent="0.3">
      <c r="A33" s="245" t="s">
        <v>1117</v>
      </c>
      <c r="B33" s="236"/>
      <c r="C33" s="236"/>
      <c r="D33" s="236"/>
      <c r="E33" s="236"/>
      <c r="F33" s="236"/>
      <c r="G33" s="236"/>
      <c r="H33" s="236"/>
      <c r="I33" s="236"/>
      <c r="J33" s="236"/>
      <c r="K33" s="19"/>
      <c r="L33" s="20"/>
      <c r="M33" s="235">
        <f>_xlfn.IFNA(INDEX(EncounterMultiplier[],MATCH(SUM(K34:L115),EncounterMultiplier[Enemies],1),2),1)</f>
        <v>2</v>
      </c>
      <c r="N33" s="236"/>
      <c r="O33" s="236"/>
      <c r="P33" s="236"/>
      <c r="Q33" s="236"/>
      <c r="R33" s="236"/>
      <c r="S33" s="236"/>
      <c r="T33" s="236"/>
      <c r="U33" s="236"/>
      <c r="V33" s="236"/>
      <c r="W33" s="236"/>
      <c r="X33" s="236"/>
      <c r="Y33" s="236"/>
      <c r="Z33" s="236"/>
      <c r="AA33" s="236"/>
      <c r="AB33" s="236"/>
      <c r="AC33" s="236"/>
      <c r="AD33" s="236"/>
      <c r="AE33" s="332"/>
      <c r="AF33" s="100"/>
      <c r="AH33" s="74"/>
      <c r="AI33" s="18"/>
      <c r="AJ33" s="18"/>
      <c r="AK33" s="18"/>
      <c r="AL33" s="18"/>
      <c r="AM33" s="18"/>
      <c r="AN33" s="18"/>
      <c r="AO33" s="18"/>
      <c r="AP33" s="18"/>
      <c r="AQ33" s="18"/>
      <c r="AR33" s="18"/>
      <c r="AS33" s="18"/>
      <c r="AT33" s="74"/>
      <c r="AU33" s="18"/>
      <c r="AV33" s="18"/>
      <c r="AW33" s="18"/>
      <c r="AX33" s="18"/>
      <c r="AY33" s="75"/>
    </row>
    <row r="34" spans="1:51" ht="15" customHeight="1" x14ac:dyDescent="0.25">
      <c r="A34" s="255" t="s">
        <v>815</v>
      </c>
      <c r="B34" s="256"/>
      <c r="C34" s="256"/>
      <c r="D34" s="256"/>
      <c r="E34" s="256"/>
      <c r="F34" s="256"/>
      <c r="G34" s="256"/>
      <c r="H34" s="256"/>
      <c r="I34" s="256"/>
      <c r="J34" s="256"/>
      <c r="K34" s="253">
        <v>4</v>
      </c>
      <c r="L34" s="254"/>
      <c r="M34" s="267">
        <f>_xlfn.IFNA(VLOOKUP(A34,Creatures[],5,FALSE),"-")</f>
        <v>0</v>
      </c>
      <c r="N34" s="268"/>
      <c r="O34" s="268"/>
      <c r="P34" s="246">
        <f>_xlfn.IFNA(VLOOKUP(M34,CREXP[],2,FALSE)*$M$33,"-")</f>
        <v>20</v>
      </c>
      <c r="Q34" s="246"/>
      <c r="R34" s="246"/>
      <c r="S34" s="246"/>
      <c r="T34" s="246"/>
      <c r="U34" s="246"/>
      <c r="V34" s="246">
        <f>IFERROR(P34*K34,"-")</f>
        <v>80</v>
      </c>
      <c r="W34" s="246"/>
      <c r="X34" s="246"/>
      <c r="Y34" s="246"/>
      <c r="Z34" s="246"/>
      <c r="AA34" s="246"/>
      <c r="AB34" s="334">
        <f>IFERROR(V34/SUM($V$34:$AA$63),"-")</f>
        <v>0.44444444444444442</v>
      </c>
      <c r="AC34" s="335"/>
      <c r="AD34" s="335"/>
      <c r="AE34" s="336"/>
      <c r="AF34" s="100"/>
      <c r="AH34" s="71"/>
      <c r="AI34" s="72"/>
      <c r="AJ34" s="72"/>
      <c r="AK34" s="72"/>
      <c r="AL34" s="72"/>
      <c r="AM34" s="72"/>
      <c r="AN34" s="72"/>
      <c r="AO34" s="72"/>
      <c r="AP34" s="72"/>
      <c r="AQ34" s="72"/>
      <c r="AR34" s="72"/>
      <c r="AS34" s="72"/>
      <c r="AT34" s="71"/>
      <c r="AU34" s="72"/>
      <c r="AV34" s="72"/>
      <c r="AW34" s="72"/>
      <c r="AX34" s="72"/>
      <c r="AY34" s="73"/>
    </row>
    <row r="35" spans="1:51" ht="15" customHeight="1" x14ac:dyDescent="0.25">
      <c r="A35" s="247" t="s">
        <v>459</v>
      </c>
      <c r="B35" s="248"/>
      <c r="C35" s="248"/>
      <c r="D35" s="248"/>
      <c r="E35" s="248"/>
      <c r="F35" s="248"/>
      <c r="G35" s="248"/>
      <c r="H35" s="248"/>
      <c r="I35" s="248"/>
      <c r="J35" s="248"/>
      <c r="K35" s="249">
        <v>2</v>
      </c>
      <c r="L35" s="250"/>
      <c r="M35" s="251" t="str">
        <f>_xlfn.IFNA(VLOOKUP(A35,Creatures[],5,FALSE),"-")</f>
        <v>1/8</v>
      </c>
      <c r="N35" s="252"/>
      <c r="O35" s="252"/>
      <c r="P35" s="238">
        <f>_xlfn.IFNA(VLOOKUP(M35,CREXP[],2,FALSE)*$M$33,"-")</f>
        <v>50</v>
      </c>
      <c r="Q35" s="238"/>
      <c r="R35" s="238"/>
      <c r="S35" s="238"/>
      <c r="T35" s="238"/>
      <c r="U35" s="238"/>
      <c r="V35" s="238">
        <f>IFERROR(P35*K35,"-")</f>
        <v>100</v>
      </c>
      <c r="W35" s="238"/>
      <c r="X35" s="238"/>
      <c r="Y35" s="238"/>
      <c r="Z35" s="238"/>
      <c r="AA35" s="238"/>
      <c r="AB35" s="326">
        <f t="shared" ref="AB35:AB63" si="83">IFERROR(V35/SUM($V$34:$AA$63),"-")</f>
        <v>0.55555555555555558</v>
      </c>
      <c r="AC35" s="231"/>
      <c r="AD35" s="231"/>
      <c r="AE35" s="232"/>
      <c r="AF35" s="100"/>
    </row>
    <row r="36" spans="1:51" ht="15" customHeight="1" x14ac:dyDescent="0.25">
      <c r="A36" s="247"/>
      <c r="B36" s="248"/>
      <c r="C36" s="248"/>
      <c r="D36" s="248"/>
      <c r="E36" s="248"/>
      <c r="F36" s="248"/>
      <c r="G36" s="248"/>
      <c r="H36" s="248"/>
      <c r="I36" s="248"/>
      <c r="J36" s="248"/>
      <c r="K36" s="249"/>
      <c r="L36" s="250"/>
      <c r="M36" s="251" t="str">
        <f>_xlfn.IFNA(VLOOKUP(A36,Creatures[],5,FALSE),"-")</f>
        <v>-</v>
      </c>
      <c r="N36" s="252"/>
      <c r="O36" s="252"/>
      <c r="P36" s="238" t="str">
        <f>_xlfn.IFNA(VLOOKUP(M36,CREXP[],2,FALSE)*$M$33,"-")</f>
        <v>-</v>
      </c>
      <c r="Q36" s="238"/>
      <c r="R36" s="238"/>
      <c r="S36" s="238"/>
      <c r="T36" s="238"/>
      <c r="U36" s="238"/>
      <c r="V36" s="238" t="str">
        <f t="shared" ref="V36:V63" si="84">IFERROR(P36*K36,"-")</f>
        <v>-</v>
      </c>
      <c r="W36" s="238"/>
      <c r="X36" s="238"/>
      <c r="Y36" s="238"/>
      <c r="Z36" s="238"/>
      <c r="AA36" s="238"/>
      <c r="AB36" s="326" t="str">
        <f t="shared" si="83"/>
        <v>-</v>
      </c>
      <c r="AC36" s="231"/>
      <c r="AD36" s="231"/>
      <c r="AE36" s="232"/>
      <c r="AF36" s="100"/>
    </row>
    <row r="37" spans="1:51" ht="15" customHeight="1" x14ac:dyDescent="0.25">
      <c r="A37" s="247"/>
      <c r="B37" s="248"/>
      <c r="C37" s="248"/>
      <c r="D37" s="248"/>
      <c r="E37" s="248"/>
      <c r="F37" s="248"/>
      <c r="G37" s="248"/>
      <c r="H37" s="248"/>
      <c r="I37" s="248"/>
      <c r="J37" s="248"/>
      <c r="K37" s="249"/>
      <c r="L37" s="250"/>
      <c r="M37" s="251" t="str">
        <f>_xlfn.IFNA(VLOOKUP(A37,Creatures[],5,FALSE),"-")</f>
        <v>-</v>
      </c>
      <c r="N37" s="252"/>
      <c r="O37" s="252"/>
      <c r="P37" s="238" t="str">
        <f>_xlfn.IFNA(VLOOKUP(M37,CREXP[],2,FALSE)*$M$33,"-")</f>
        <v>-</v>
      </c>
      <c r="Q37" s="238"/>
      <c r="R37" s="238"/>
      <c r="S37" s="238"/>
      <c r="T37" s="238"/>
      <c r="U37" s="238"/>
      <c r="V37" s="238" t="str">
        <f t="shared" si="84"/>
        <v>-</v>
      </c>
      <c r="W37" s="238"/>
      <c r="X37" s="238"/>
      <c r="Y37" s="238"/>
      <c r="Z37" s="238"/>
      <c r="AA37" s="238"/>
      <c r="AB37" s="326" t="str">
        <f t="shared" si="83"/>
        <v>-</v>
      </c>
      <c r="AC37" s="231"/>
      <c r="AD37" s="231"/>
      <c r="AE37" s="232"/>
      <c r="AF37" s="100"/>
    </row>
    <row r="38" spans="1:51" ht="15" customHeight="1" x14ac:dyDescent="0.25">
      <c r="A38" s="247"/>
      <c r="B38" s="248"/>
      <c r="C38" s="248"/>
      <c r="D38" s="248"/>
      <c r="E38" s="248"/>
      <c r="F38" s="248"/>
      <c r="G38" s="248"/>
      <c r="H38" s="248"/>
      <c r="I38" s="248"/>
      <c r="J38" s="248"/>
      <c r="K38" s="249"/>
      <c r="L38" s="250"/>
      <c r="M38" s="251" t="str">
        <f>_xlfn.IFNA(VLOOKUP(A38,Creatures[],5,FALSE),"-")</f>
        <v>-</v>
      </c>
      <c r="N38" s="252"/>
      <c r="O38" s="252"/>
      <c r="P38" s="238" t="str">
        <f>_xlfn.IFNA(VLOOKUP(M38,CREXP[],2,FALSE)*$M$33,"-")</f>
        <v>-</v>
      </c>
      <c r="Q38" s="238"/>
      <c r="R38" s="238"/>
      <c r="S38" s="238"/>
      <c r="T38" s="238"/>
      <c r="U38" s="238"/>
      <c r="V38" s="238" t="str">
        <f t="shared" si="84"/>
        <v>-</v>
      </c>
      <c r="W38" s="238"/>
      <c r="X38" s="238"/>
      <c r="Y38" s="238"/>
      <c r="Z38" s="238"/>
      <c r="AA38" s="238"/>
      <c r="AB38" s="326" t="str">
        <f t="shared" si="83"/>
        <v>-</v>
      </c>
      <c r="AC38" s="231"/>
      <c r="AD38" s="231"/>
      <c r="AE38" s="232"/>
      <c r="AF38" s="100"/>
    </row>
    <row r="39" spans="1:51" ht="15" customHeight="1" x14ac:dyDescent="0.25">
      <c r="A39" s="247"/>
      <c r="B39" s="248"/>
      <c r="C39" s="248"/>
      <c r="D39" s="248"/>
      <c r="E39" s="248"/>
      <c r="F39" s="248"/>
      <c r="G39" s="248"/>
      <c r="H39" s="248"/>
      <c r="I39" s="248"/>
      <c r="J39" s="248"/>
      <c r="K39" s="249"/>
      <c r="L39" s="250"/>
      <c r="M39" s="251" t="str">
        <f>_xlfn.IFNA(VLOOKUP(A39,Creatures[],5,FALSE),"-")</f>
        <v>-</v>
      </c>
      <c r="N39" s="252"/>
      <c r="O39" s="252"/>
      <c r="P39" s="238" t="str">
        <f>_xlfn.IFNA(VLOOKUP(M39,CREXP[],2,FALSE)*$M$33,"-")</f>
        <v>-</v>
      </c>
      <c r="Q39" s="238"/>
      <c r="R39" s="238"/>
      <c r="S39" s="238"/>
      <c r="T39" s="238"/>
      <c r="U39" s="238"/>
      <c r="V39" s="238" t="str">
        <f t="shared" si="84"/>
        <v>-</v>
      </c>
      <c r="W39" s="238"/>
      <c r="X39" s="238"/>
      <c r="Y39" s="238"/>
      <c r="Z39" s="238"/>
      <c r="AA39" s="238"/>
      <c r="AB39" s="326" t="str">
        <f t="shared" si="83"/>
        <v>-</v>
      </c>
      <c r="AC39" s="231"/>
      <c r="AD39" s="231"/>
      <c r="AE39" s="232"/>
      <c r="AF39" s="100"/>
    </row>
    <row r="40" spans="1:51" ht="15" customHeight="1" x14ac:dyDescent="0.25">
      <c r="A40" s="247"/>
      <c r="B40" s="248"/>
      <c r="C40" s="248"/>
      <c r="D40" s="248"/>
      <c r="E40" s="248"/>
      <c r="F40" s="248"/>
      <c r="G40" s="248"/>
      <c r="H40" s="248"/>
      <c r="I40" s="248"/>
      <c r="J40" s="248"/>
      <c r="K40" s="249"/>
      <c r="L40" s="250"/>
      <c r="M40" s="251" t="str">
        <f>_xlfn.IFNA(VLOOKUP(A40,Creatures[],5,FALSE),"-")</f>
        <v>-</v>
      </c>
      <c r="N40" s="252"/>
      <c r="O40" s="252"/>
      <c r="P40" s="238" t="str">
        <f>_xlfn.IFNA(VLOOKUP(M40,CREXP[],2,FALSE)*$M$33,"-")</f>
        <v>-</v>
      </c>
      <c r="Q40" s="238"/>
      <c r="R40" s="238"/>
      <c r="S40" s="238"/>
      <c r="T40" s="238"/>
      <c r="U40" s="238"/>
      <c r="V40" s="238" t="str">
        <f t="shared" si="84"/>
        <v>-</v>
      </c>
      <c r="W40" s="238"/>
      <c r="X40" s="238"/>
      <c r="Y40" s="238"/>
      <c r="Z40" s="238"/>
      <c r="AA40" s="238"/>
      <c r="AB40" s="326" t="str">
        <f t="shared" si="83"/>
        <v>-</v>
      </c>
      <c r="AC40" s="231"/>
      <c r="AD40" s="231"/>
      <c r="AE40" s="232"/>
      <c r="AF40" s="100"/>
    </row>
    <row r="41" spans="1:51" ht="15" customHeight="1" x14ac:dyDescent="0.25">
      <c r="A41" s="247"/>
      <c r="B41" s="248"/>
      <c r="C41" s="248"/>
      <c r="D41" s="248"/>
      <c r="E41" s="248"/>
      <c r="F41" s="248"/>
      <c r="G41" s="248"/>
      <c r="H41" s="248"/>
      <c r="I41" s="248"/>
      <c r="J41" s="248"/>
      <c r="K41" s="249"/>
      <c r="L41" s="250"/>
      <c r="M41" s="251" t="str">
        <f>_xlfn.IFNA(VLOOKUP(A41,Creatures[],5,FALSE),"-")</f>
        <v>-</v>
      </c>
      <c r="N41" s="252"/>
      <c r="O41" s="252"/>
      <c r="P41" s="238" t="str">
        <f>_xlfn.IFNA(VLOOKUP(M41,CREXP[],2,FALSE)*$M$33,"-")</f>
        <v>-</v>
      </c>
      <c r="Q41" s="238"/>
      <c r="R41" s="238"/>
      <c r="S41" s="238"/>
      <c r="T41" s="238"/>
      <c r="U41" s="238"/>
      <c r="V41" s="238" t="str">
        <f t="shared" si="84"/>
        <v>-</v>
      </c>
      <c r="W41" s="238"/>
      <c r="X41" s="238"/>
      <c r="Y41" s="238"/>
      <c r="Z41" s="238"/>
      <c r="AA41" s="238"/>
      <c r="AB41" s="326" t="str">
        <f t="shared" si="83"/>
        <v>-</v>
      </c>
      <c r="AC41" s="231"/>
      <c r="AD41" s="231"/>
      <c r="AE41" s="232"/>
      <c r="AF41" s="100"/>
    </row>
    <row r="42" spans="1:51" ht="15" customHeight="1" x14ac:dyDescent="0.25">
      <c r="A42" s="247"/>
      <c r="B42" s="248"/>
      <c r="C42" s="248"/>
      <c r="D42" s="248"/>
      <c r="E42" s="248"/>
      <c r="F42" s="248"/>
      <c r="G42" s="248"/>
      <c r="H42" s="248"/>
      <c r="I42" s="248"/>
      <c r="J42" s="248"/>
      <c r="K42" s="249"/>
      <c r="L42" s="250"/>
      <c r="M42" s="251" t="str">
        <f>_xlfn.IFNA(VLOOKUP(A42,Creatures[],5,FALSE),"-")</f>
        <v>-</v>
      </c>
      <c r="N42" s="252"/>
      <c r="O42" s="252"/>
      <c r="P42" s="238" t="str">
        <f>_xlfn.IFNA(VLOOKUP(M42,CREXP[],2,FALSE)*$M$33,"-")</f>
        <v>-</v>
      </c>
      <c r="Q42" s="238"/>
      <c r="R42" s="238"/>
      <c r="S42" s="238"/>
      <c r="T42" s="238"/>
      <c r="U42" s="238"/>
      <c r="V42" s="238" t="str">
        <f t="shared" si="84"/>
        <v>-</v>
      </c>
      <c r="W42" s="238"/>
      <c r="X42" s="238"/>
      <c r="Y42" s="238"/>
      <c r="Z42" s="238"/>
      <c r="AA42" s="238"/>
      <c r="AB42" s="326" t="str">
        <f t="shared" si="83"/>
        <v>-</v>
      </c>
      <c r="AC42" s="231"/>
      <c r="AD42" s="231"/>
      <c r="AE42" s="232"/>
      <c r="AF42" s="100"/>
    </row>
    <row r="43" spans="1:51" ht="15" customHeight="1" x14ac:dyDescent="0.25">
      <c r="A43" s="247"/>
      <c r="B43" s="248"/>
      <c r="C43" s="248"/>
      <c r="D43" s="248"/>
      <c r="E43" s="248"/>
      <c r="F43" s="248"/>
      <c r="G43" s="248"/>
      <c r="H43" s="248"/>
      <c r="I43" s="248"/>
      <c r="J43" s="248"/>
      <c r="K43" s="249"/>
      <c r="L43" s="250"/>
      <c r="M43" s="251" t="str">
        <f>_xlfn.IFNA(VLOOKUP(A43,Creatures[],5,FALSE),"-")</f>
        <v>-</v>
      </c>
      <c r="N43" s="252"/>
      <c r="O43" s="252"/>
      <c r="P43" s="238" t="str">
        <f>_xlfn.IFNA(VLOOKUP(M43,CREXP[],2,FALSE)*$M$33,"-")</f>
        <v>-</v>
      </c>
      <c r="Q43" s="238"/>
      <c r="R43" s="238"/>
      <c r="S43" s="238"/>
      <c r="T43" s="238"/>
      <c r="U43" s="238"/>
      <c r="V43" s="238" t="str">
        <f t="shared" si="84"/>
        <v>-</v>
      </c>
      <c r="W43" s="238"/>
      <c r="X43" s="238"/>
      <c r="Y43" s="238"/>
      <c r="Z43" s="238"/>
      <c r="AA43" s="238"/>
      <c r="AB43" s="326" t="str">
        <f t="shared" si="83"/>
        <v>-</v>
      </c>
      <c r="AC43" s="231"/>
      <c r="AD43" s="231"/>
      <c r="AE43" s="232"/>
      <c r="AF43" s="100"/>
    </row>
    <row r="44" spans="1:51" ht="15" customHeight="1" x14ac:dyDescent="0.25">
      <c r="A44" s="247"/>
      <c r="B44" s="248"/>
      <c r="C44" s="248"/>
      <c r="D44" s="248"/>
      <c r="E44" s="248"/>
      <c r="F44" s="248"/>
      <c r="G44" s="248"/>
      <c r="H44" s="248"/>
      <c r="I44" s="248"/>
      <c r="J44" s="248"/>
      <c r="K44" s="249"/>
      <c r="L44" s="250"/>
      <c r="M44" s="251" t="str">
        <f>_xlfn.IFNA(VLOOKUP(A44,Creatures[],5,FALSE),"-")</f>
        <v>-</v>
      </c>
      <c r="N44" s="252"/>
      <c r="O44" s="252"/>
      <c r="P44" s="238" t="str">
        <f>_xlfn.IFNA(VLOOKUP(M44,CREXP[],2,FALSE)*$M$33,"-")</f>
        <v>-</v>
      </c>
      <c r="Q44" s="238"/>
      <c r="R44" s="238"/>
      <c r="S44" s="238"/>
      <c r="T44" s="238"/>
      <c r="U44" s="238"/>
      <c r="V44" s="238" t="str">
        <f t="shared" si="84"/>
        <v>-</v>
      </c>
      <c r="W44" s="238"/>
      <c r="X44" s="238"/>
      <c r="Y44" s="238"/>
      <c r="Z44" s="238"/>
      <c r="AA44" s="238"/>
      <c r="AB44" s="326" t="str">
        <f t="shared" si="83"/>
        <v>-</v>
      </c>
      <c r="AC44" s="231"/>
      <c r="AD44" s="231"/>
      <c r="AE44" s="232"/>
      <c r="AF44" s="100"/>
    </row>
    <row r="45" spans="1:51" ht="15" customHeight="1" x14ac:dyDescent="0.25">
      <c r="A45" s="247"/>
      <c r="B45" s="248"/>
      <c r="C45" s="248"/>
      <c r="D45" s="248"/>
      <c r="E45" s="248"/>
      <c r="F45" s="248"/>
      <c r="G45" s="248"/>
      <c r="H45" s="248"/>
      <c r="I45" s="248"/>
      <c r="J45" s="248"/>
      <c r="K45" s="249"/>
      <c r="L45" s="250"/>
      <c r="M45" s="251" t="str">
        <f>_xlfn.IFNA(VLOOKUP(A45,Creatures[],5,FALSE),"-")</f>
        <v>-</v>
      </c>
      <c r="N45" s="252"/>
      <c r="O45" s="252"/>
      <c r="P45" s="238" t="str">
        <f>_xlfn.IFNA(VLOOKUP(M45,CREXP[],2,FALSE)*$M$33,"-")</f>
        <v>-</v>
      </c>
      <c r="Q45" s="238"/>
      <c r="R45" s="238"/>
      <c r="S45" s="238"/>
      <c r="T45" s="238"/>
      <c r="U45" s="238"/>
      <c r="V45" s="238" t="str">
        <f t="shared" si="84"/>
        <v>-</v>
      </c>
      <c r="W45" s="238"/>
      <c r="X45" s="238"/>
      <c r="Y45" s="238"/>
      <c r="Z45" s="238"/>
      <c r="AA45" s="238"/>
      <c r="AB45" s="326" t="str">
        <f t="shared" si="83"/>
        <v>-</v>
      </c>
      <c r="AC45" s="231"/>
      <c r="AD45" s="231"/>
      <c r="AE45" s="232"/>
      <c r="AF45" s="100"/>
    </row>
    <row r="46" spans="1:51" ht="15" customHeight="1" x14ac:dyDescent="0.25">
      <c r="A46" s="247"/>
      <c r="B46" s="248"/>
      <c r="C46" s="248"/>
      <c r="D46" s="248"/>
      <c r="E46" s="248"/>
      <c r="F46" s="248"/>
      <c r="G46" s="248"/>
      <c r="H46" s="248"/>
      <c r="I46" s="248"/>
      <c r="J46" s="248"/>
      <c r="K46" s="249"/>
      <c r="L46" s="250"/>
      <c r="M46" s="251" t="str">
        <f>_xlfn.IFNA(VLOOKUP(A46,Creatures[],5,FALSE),"-")</f>
        <v>-</v>
      </c>
      <c r="N46" s="252"/>
      <c r="O46" s="252"/>
      <c r="P46" s="238" t="str">
        <f>_xlfn.IFNA(VLOOKUP(M46,CREXP[],2,FALSE)*$M$33,"-")</f>
        <v>-</v>
      </c>
      <c r="Q46" s="238"/>
      <c r="R46" s="238"/>
      <c r="S46" s="238"/>
      <c r="T46" s="238"/>
      <c r="U46" s="238"/>
      <c r="V46" s="238" t="str">
        <f t="shared" si="84"/>
        <v>-</v>
      </c>
      <c r="W46" s="238"/>
      <c r="X46" s="238"/>
      <c r="Y46" s="238"/>
      <c r="Z46" s="238"/>
      <c r="AA46" s="238"/>
      <c r="AB46" s="326" t="str">
        <f t="shared" si="83"/>
        <v>-</v>
      </c>
      <c r="AC46" s="231"/>
      <c r="AD46" s="231"/>
      <c r="AE46" s="232"/>
      <c r="AF46" s="100"/>
    </row>
    <row r="47" spans="1:51" ht="15" customHeight="1" x14ac:dyDescent="0.25">
      <c r="A47" s="247"/>
      <c r="B47" s="248"/>
      <c r="C47" s="248"/>
      <c r="D47" s="248"/>
      <c r="E47" s="248"/>
      <c r="F47" s="248"/>
      <c r="G47" s="248"/>
      <c r="H47" s="248"/>
      <c r="I47" s="248"/>
      <c r="J47" s="248"/>
      <c r="K47" s="249"/>
      <c r="L47" s="250"/>
      <c r="M47" s="251" t="str">
        <f>_xlfn.IFNA(VLOOKUP(A47,Creatures[],5,FALSE),"-")</f>
        <v>-</v>
      </c>
      <c r="N47" s="252"/>
      <c r="O47" s="252"/>
      <c r="P47" s="238" t="str">
        <f>_xlfn.IFNA(VLOOKUP(M47,CREXP[],2,FALSE)*$M$33,"-")</f>
        <v>-</v>
      </c>
      <c r="Q47" s="238"/>
      <c r="R47" s="238"/>
      <c r="S47" s="238"/>
      <c r="T47" s="238"/>
      <c r="U47" s="238"/>
      <c r="V47" s="238" t="str">
        <f t="shared" si="84"/>
        <v>-</v>
      </c>
      <c r="W47" s="238"/>
      <c r="X47" s="238"/>
      <c r="Y47" s="238"/>
      <c r="Z47" s="238"/>
      <c r="AA47" s="238"/>
      <c r="AB47" s="326" t="str">
        <f t="shared" si="83"/>
        <v>-</v>
      </c>
      <c r="AC47" s="231"/>
      <c r="AD47" s="231"/>
      <c r="AE47" s="232"/>
      <c r="AF47" s="100"/>
    </row>
    <row r="48" spans="1:51" ht="15" customHeight="1" x14ac:dyDescent="0.25">
      <c r="A48" s="247"/>
      <c r="B48" s="248"/>
      <c r="C48" s="248"/>
      <c r="D48" s="248"/>
      <c r="E48" s="248"/>
      <c r="F48" s="248"/>
      <c r="G48" s="248"/>
      <c r="H48" s="248"/>
      <c r="I48" s="248"/>
      <c r="J48" s="248"/>
      <c r="K48" s="249"/>
      <c r="L48" s="250"/>
      <c r="M48" s="251" t="str">
        <f>_xlfn.IFNA(VLOOKUP(A48,Creatures[],5,FALSE),"-")</f>
        <v>-</v>
      </c>
      <c r="N48" s="252"/>
      <c r="O48" s="252"/>
      <c r="P48" s="238" t="str">
        <f>_xlfn.IFNA(VLOOKUP(M48,CREXP[],2,FALSE)*$M$33,"-")</f>
        <v>-</v>
      </c>
      <c r="Q48" s="238"/>
      <c r="R48" s="238"/>
      <c r="S48" s="238"/>
      <c r="T48" s="238"/>
      <c r="U48" s="238"/>
      <c r="V48" s="238" t="str">
        <f t="shared" si="84"/>
        <v>-</v>
      </c>
      <c r="W48" s="238"/>
      <c r="X48" s="238"/>
      <c r="Y48" s="238"/>
      <c r="Z48" s="238"/>
      <c r="AA48" s="238"/>
      <c r="AB48" s="326" t="str">
        <f t="shared" si="83"/>
        <v>-</v>
      </c>
      <c r="AC48" s="231"/>
      <c r="AD48" s="231"/>
      <c r="AE48" s="232"/>
      <c r="AF48" s="100"/>
    </row>
    <row r="49" spans="1:32" ht="15" customHeight="1" x14ac:dyDescent="0.25">
      <c r="A49" s="247"/>
      <c r="B49" s="248"/>
      <c r="C49" s="248"/>
      <c r="D49" s="248"/>
      <c r="E49" s="248"/>
      <c r="F49" s="248"/>
      <c r="G49" s="248"/>
      <c r="H49" s="248"/>
      <c r="I49" s="248"/>
      <c r="J49" s="248"/>
      <c r="K49" s="249"/>
      <c r="L49" s="250"/>
      <c r="M49" s="251" t="str">
        <f>_xlfn.IFNA(VLOOKUP(A49,Creatures[],5,FALSE),"-")</f>
        <v>-</v>
      </c>
      <c r="N49" s="252"/>
      <c r="O49" s="252"/>
      <c r="P49" s="238" t="str">
        <f>_xlfn.IFNA(VLOOKUP(M49,CREXP[],2,FALSE)*$M$33,"-")</f>
        <v>-</v>
      </c>
      <c r="Q49" s="238"/>
      <c r="R49" s="238"/>
      <c r="S49" s="238"/>
      <c r="T49" s="238"/>
      <c r="U49" s="238"/>
      <c r="V49" s="238" t="str">
        <f t="shared" si="84"/>
        <v>-</v>
      </c>
      <c r="W49" s="238"/>
      <c r="X49" s="238"/>
      <c r="Y49" s="238"/>
      <c r="Z49" s="238"/>
      <c r="AA49" s="238"/>
      <c r="AB49" s="326" t="str">
        <f t="shared" si="83"/>
        <v>-</v>
      </c>
      <c r="AC49" s="231"/>
      <c r="AD49" s="231"/>
      <c r="AE49" s="232"/>
      <c r="AF49" s="100"/>
    </row>
    <row r="50" spans="1:32" ht="15" customHeight="1" x14ac:dyDescent="0.25">
      <c r="A50" s="247"/>
      <c r="B50" s="248"/>
      <c r="C50" s="248"/>
      <c r="D50" s="248"/>
      <c r="E50" s="248"/>
      <c r="F50" s="248"/>
      <c r="G50" s="248"/>
      <c r="H50" s="248"/>
      <c r="I50" s="248"/>
      <c r="J50" s="248"/>
      <c r="K50" s="249"/>
      <c r="L50" s="250"/>
      <c r="M50" s="251" t="str">
        <f>_xlfn.IFNA(VLOOKUP(A50,Creatures[],5,FALSE),"-")</f>
        <v>-</v>
      </c>
      <c r="N50" s="252"/>
      <c r="O50" s="252"/>
      <c r="P50" s="238" t="str">
        <f>_xlfn.IFNA(VLOOKUP(M50,CREXP[],2,FALSE)*$M$33,"-")</f>
        <v>-</v>
      </c>
      <c r="Q50" s="238"/>
      <c r="R50" s="238"/>
      <c r="S50" s="238"/>
      <c r="T50" s="238"/>
      <c r="U50" s="238"/>
      <c r="V50" s="238" t="str">
        <f>IFERROR(P50*K50,"-")</f>
        <v>-</v>
      </c>
      <c r="W50" s="238"/>
      <c r="X50" s="238"/>
      <c r="Y50" s="238"/>
      <c r="Z50" s="238"/>
      <c r="AA50" s="238"/>
      <c r="AB50" s="326" t="str">
        <f t="shared" si="83"/>
        <v>-</v>
      </c>
      <c r="AC50" s="231"/>
      <c r="AD50" s="231"/>
      <c r="AE50" s="232"/>
      <c r="AF50" s="100"/>
    </row>
    <row r="51" spans="1:32" ht="15" customHeight="1" x14ac:dyDescent="0.25">
      <c r="A51" s="247"/>
      <c r="B51" s="248"/>
      <c r="C51" s="248"/>
      <c r="D51" s="248"/>
      <c r="E51" s="248"/>
      <c r="F51" s="248"/>
      <c r="G51" s="248"/>
      <c r="H51" s="248"/>
      <c r="I51" s="248"/>
      <c r="J51" s="248"/>
      <c r="K51" s="249"/>
      <c r="L51" s="250"/>
      <c r="M51" s="251" t="str">
        <f>_xlfn.IFNA(VLOOKUP(A51,Creatures[],5,FALSE),"-")</f>
        <v>-</v>
      </c>
      <c r="N51" s="252"/>
      <c r="O51" s="252"/>
      <c r="P51" s="238" t="str">
        <f>_xlfn.IFNA(VLOOKUP(M51,CREXP[],2,FALSE)*$M$33,"-")</f>
        <v>-</v>
      </c>
      <c r="Q51" s="238"/>
      <c r="R51" s="238"/>
      <c r="S51" s="238"/>
      <c r="T51" s="238"/>
      <c r="U51" s="238"/>
      <c r="V51" s="238" t="str">
        <f t="shared" si="84"/>
        <v>-</v>
      </c>
      <c r="W51" s="238"/>
      <c r="X51" s="238"/>
      <c r="Y51" s="238"/>
      <c r="Z51" s="238"/>
      <c r="AA51" s="238"/>
      <c r="AB51" s="326" t="str">
        <f t="shared" si="83"/>
        <v>-</v>
      </c>
      <c r="AC51" s="231"/>
      <c r="AD51" s="231"/>
      <c r="AE51" s="232"/>
      <c r="AF51" s="100"/>
    </row>
    <row r="52" spans="1:32" ht="15" customHeight="1" x14ac:dyDescent="0.25">
      <c r="A52" s="247"/>
      <c r="B52" s="248"/>
      <c r="C52" s="248"/>
      <c r="D52" s="248"/>
      <c r="E52" s="248"/>
      <c r="F52" s="248"/>
      <c r="G52" s="248"/>
      <c r="H52" s="248"/>
      <c r="I52" s="248"/>
      <c r="J52" s="248"/>
      <c r="K52" s="249"/>
      <c r="L52" s="250"/>
      <c r="M52" s="251" t="str">
        <f>_xlfn.IFNA(VLOOKUP(A52,Creatures[],5,FALSE),"-")</f>
        <v>-</v>
      </c>
      <c r="N52" s="252"/>
      <c r="O52" s="252"/>
      <c r="P52" s="238" t="str">
        <f>_xlfn.IFNA(VLOOKUP(M52,CREXP[],2,FALSE)*$M$33,"-")</f>
        <v>-</v>
      </c>
      <c r="Q52" s="238"/>
      <c r="R52" s="238"/>
      <c r="S52" s="238"/>
      <c r="T52" s="238"/>
      <c r="U52" s="238"/>
      <c r="V52" s="238" t="str">
        <f t="shared" si="84"/>
        <v>-</v>
      </c>
      <c r="W52" s="238"/>
      <c r="X52" s="238"/>
      <c r="Y52" s="238"/>
      <c r="Z52" s="238"/>
      <c r="AA52" s="238"/>
      <c r="AB52" s="326" t="str">
        <f t="shared" si="83"/>
        <v>-</v>
      </c>
      <c r="AC52" s="231"/>
      <c r="AD52" s="231"/>
      <c r="AE52" s="232"/>
      <c r="AF52" s="100"/>
    </row>
    <row r="53" spans="1:32" ht="15" customHeight="1" x14ac:dyDescent="0.25">
      <c r="A53" s="247"/>
      <c r="B53" s="248"/>
      <c r="C53" s="248"/>
      <c r="D53" s="248"/>
      <c r="E53" s="248"/>
      <c r="F53" s="248"/>
      <c r="G53" s="248"/>
      <c r="H53" s="248"/>
      <c r="I53" s="248"/>
      <c r="J53" s="248"/>
      <c r="K53" s="249"/>
      <c r="L53" s="250"/>
      <c r="M53" s="251" t="str">
        <f>_xlfn.IFNA(VLOOKUP(A53,Creatures[],5,FALSE),"-")</f>
        <v>-</v>
      </c>
      <c r="N53" s="252"/>
      <c r="O53" s="252"/>
      <c r="P53" s="238" t="str">
        <f>_xlfn.IFNA(VLOOKUP(M53,CREXP[],2,FALSE)*$M$33,"-")</f>
        <v>-</v>
      </c>
      <c r="Q53" s="238"/>
      <c r="R53" s="238"/>
      <c r="S53" s="238"/>
      <c r="T53" s="238"/>
      <c r="U53" s="238"/>
      <c r="V53" s="238" t="str">
        <f t="shared" si="84"/>
        <v>-</v>
      </c>
      <c r="W53" s="238"/>
      <c r="X53" s="238"/>
      <c r="Y53" s="238"/>
      <c r="Z53" s="238"/>
      <c r="AA53" s="238"/>
      <c r="AB53" s="326" t="str">
        <f t="shared" si="83"/>
        <v>-</v>
      </c>
      <c r="AC53" s="231"/>
      <c r="AD53" s="231"/>
      <c r="AE53" s="232"/>
      <c r="AF53" s="100"/>
    </row>
    <row r="54" spans="1:32" ht="15" customHeight="1" x14ac:dyDescent="0.25">
      <c r="A54" s="247"/>
      <c r="B54" s="248"/>
      <c r="C54" s="248"/>
      <c r="D54" s="248"/>
      <c r="E54" s="248"/>
      <c r="F54" s="248"/>
      <c r="G54" s="248"/>
      <c r="H54" s="248"/>
      <c r="I54" s="248"/>
      <c r="J54" s="248"/>
      <c r="K54" s="249"/>
      <c r="L54" s="250"/>
      <c r="M54" s="251" t="str">
        <f>_xlfn.IFNA(VLOOKUP(A54,Creatures[],5,FALSE),"-")</f>
        <v>-</v>
      </c>
      <c r="N54" s="252"/>
      <c r="O54" s="252"/>
      <c r="P54" s="238" t="str">
        <f>_xlfn.IFNA(VLOOKUP(M54,CREXP[],2,FALSE)*$M$33,"-")</f>
        <v>-</v>
      </c>
      <c r="Q54" s="238"/>
      <c r="R54" s="238"/>
      <c r="S54" s="238"/>
      <c r="T54" s="238"/>
      <c r="U54" s="238"/>
      <c r="V54" s="238" t="str">
        <f t="shared" si="84"/>
        <v>-</v>
      </c>
      <c r="W54" s="238"/>
      <c r="X54" s="238"/>
      <c r="Y54" s="238"/>
      <c r="Z54" s="238"/>
      <c r="AA54" s="238"/>
      <c r="AB54" s="326" t="str">
        <f t="shared" si="83"/>
        <v>-</v>
      </c>
      <c r="AC54" s="231"/>
      <c r="AD54" s="231"/>
      <c r="AE54" s="232"/>
      <c r="AF54" s="100"/>
    </row>
    <row r="55" spans="1:32" ht="15" customHeight="1" x14ac:dyDescent="0.25">
      <c r="A55" s="247"/>
      <c r="B55" s="248"/>
      <c r="C55" s="248"/>
      <c r="D55" s="248"/>
      <c r="E55" s="248"/>
      <c r="F55" s="248"/>
      <c r="G55" s="248"/>
      <c r="H55" s="248"/>
      <c r="I55" s="248"/>
      <c r="J55" s="248"/>
      <c r="K55" s="249"/>
      <c r="L55" s="250"/>
      <c r="M55" s="251" t="str">
        <f>_xlfn.IFNA(VLOOKUP(A55,Creatures[],5,FALSE),"-")</f>
        <v>-</v>
      </c>
      <c r="N55" s="252"/>
      <c r="O55" s="252"/>
      <c r="P55" s="238" t="str">
        <f>_xlfn.IFNA(VLOOKUP(M55,CREXP[],2,FALSE)*$M$33,"-")</f>
        <v>-</v>
      </c>
      <c r="Q55" s="238"/>
      <c r="R55" s="238"/>
      <c r="S55" s="238"/>
      <c r="T55" s="238"/>
      <c r="U55" s="238"/>
      <c r="V55" s="238" t="str">
        <f t="shared" si="84"/>
        <v>-</v>
      </c>
      <c r="W55" s="238"/>
      <c r="X55" s="238"/>
      <c r="Y55" s="238"/>
      <c r="Z55" s="238"/>
      <c r="AA55" s="238"/>
      <c r="AB55" s="326" t="str">
        <f t="shared" si="83"/>
        <v>-</v>
      </c>
      <c r="AC55" s="231"/>
      <c r="AD55" s="231"/>
      <c r="AE55" s="232"/>
      <c r="AF55" s="100"/>
    </row>
    <row r="56" spans="1:32" ht="15" customHeight="1" x14ac:dyDescent="0.25">
      <c r="A56" s="247"/>
      <c r="B56" s="248"/>
      <c r="C56" s="248"/>
      <c r="D56" s="248"/>
      <c r="E56" s="248"/>
      <c r="F56" s="248"/>
      <c r="G56" s="248"/>
      <c r="H56" s="248"/>
      <c r="I56" s="248"/>
      <c r="J56" s="248"/>
      <c r="K56" s="249"/>
      <c r="L56" s="250"/>
      <c r="M56" s="251" t="str">
        <f>_xlfn.IFNA(VLOOKUP(A56,Creatures[],5,FALSE),"-")</f>
        <v>-</v>
      </c>
      <c r="N56" s="252"/>
      <c r="O56" s="252"/>
      <c r="P56" s="238" t="str">
        <f>_xlfn.IFNA(VLOOKUP(M56,CREXP[],2,FALSE)*$M$33,"-")</f>
        <v>-</v>
      </c>
      <c r="Q56" s="238"/>
      <c r="R56" s="238"/>
      <c r="S56" s="238"/>
      <c r="T56" s="238"/>
      <c r="U56" s="238"/>
      <c r="V56" s="238" t="str">
        <f t="shared" si="84"/>
        <v>-</v>
      </c>
      <c r="W56" s="238"/>
      <c r="X56" s="238"/>
      <c r="Y56" s="238"/>
      <c r="Z56" s="238"/>
      <c r="AA56" s="238"/>
      <c r="AB56" s="326" t="str">
        <f t="shared" si="83"/>
        <v>-</v>
      </c>
      <c r="AC56" s="231"/>
      <c r="AD56" s="231"/>
      <c r="AE56" s="232"/>
      <c r="AF56" s="100"/>
    </row>
    <row r="57" spans="1:32" ht="15" customHeight="1" x14ac:dyDescent="0.25">
      <c r="A57" s="247"/>
      <c r="B57" s="248"/>
      <c r="C57" s="248"/>
      <c r="D57" s="248"/>
      <c r="E57" s="248"/>
      <c r="F57" s="248"/>
      <c r="G57" s="248"/>
      <c r="H57" s="248"/>
      <c r="I57" s="248"/>
      <c r="J57" s="248"/>
      <c r="K57" s="249"/>
      <c r="L57" s="250"/>
      <c r="M57" s="251" t="str">
        <f>_xlfn.IFNA(VLOOKUP(A57,Creatures[],5,FALSE),"-")</f>
        <v>-</v>
      </c>
      <c r="N57" s="252"/>
      <c r="O57" s="252"/>
      <c r="P57" s="238" t="str">
        <f>_xlfn.IFNA(VLOOKUP(M57,CREXP[],2,FALSE)*$M$33,"-")</f>
        <v>-</v>
      </c>
      <c r="Q57" s="238"/>
      <c r="R57" s="238"/>
      <c r="S57" s="238"/>
      <c r="T57" s="238"/>
      <c r="U57" s="238"/>
      <c r="V57" s="238" t="str">
        <f t="shared" si="84"/>
        <v>-</v>
      </c>
      <c r="W57" s="238"/>
      <c r="X57" s="238"/>
      <c r="Y57" s="238"/>
      <c r="Z57" s="238"/>
      <c r="AA57" s="238"/>
      <c r="AB57" s="326" t="str">
        <f t="shared" si="83"/>
        <v>-</v>
      </c>
      <c r="AC57" s="231"/>
      <c r="AD57" s="231"/>
      <c r="AE57" s="232"/>
      <c r="AF57" s="100"/>
    </row>
    <row r="58" spans="1:32" ht="15" customHeight="1" x14ac:dyDescent="0.25">
      <c r="A58" s="247"/>
      <c r="B58" s="248"/>
      <c r="C58" s="248"/>
      <c r="D58" s="248"/>
      <c r="E58" s="248"/>
      <c r="F58" s="248"/>
      <c r="G58" s="248"/>
      <c r="H58" s="248"/>
      <c r="I58" s="248"/>
      <c r="J58" s="248"/>
      <c r="K58" s="249"/>
      <c r="L58" s="250"/>
      <c r="M58" s="251" t="str">
        <f>_xlfn.IFNA(VLOOKUP(A58,Creatures[],5,FALSE),"-")</f>
        <v>-</v>
      </c>
      <c r="N58" s="252"/>
      <c r="O58" s="252"/>
      <c r="P58" s="238" t="str">
        <f>_xlfn.IFNA(VLOOKUP(M58,CREXP[],2,FALSE)*$M$33,"-")</f>
        <v>-</v>
      </c>
      <c r="Q58" s="238"/>
      <c r="R58" s="238"/>
      <c r="S58" s="238"/>
      <c r="T58" s="238"/>
      <c r="U58" s="238"/>
      <c r="V58" s="238" t="str">
        <f t="shared" si="84"/>
        <v>-</v>
      </c>
      <c r="W58" s="238"/>
      <c r="X58" s="238"/>
      <c r="Y58" s="238"/>
      <c r="Z58" s="238"/>
      <c r="AA58" s="238"/>
      <c r="AB58" s="326" t="str">
        <f t="shared" si="83"/>
        <v>-</v>
      </c>
      <c r="AC58" s="231"/>
      <c r="AD58" s="231"/>
      <c r="AE58" s="232"/>
      <c r="AF58" s="100"/>
    </row>
    <row r="59" spans="1:32" ht="15" customHeight="1" x14ac:dyDescent="0.25">
      <c r="A59" s="247"/>
      <c r="B59" s="248"/>
      <c r="C59" s="248"/>
      <c r="D59" s="248"/>
      <c r="E59" s="248"/>
      <c r="F59" s="248"/>
      <c r="G59" s="248"/>
      <c r="H59" s="248"/>
      <c r="I59" s="248"/>
      <c r="J59" s="248"/>
      <c r="K59" s="249"/>
      <c r="L59" s="250"/>
      <c r="M59" s="251" t="str">
        <f>_xlfn.IFNA(VLOOKUP(A59,Creatures[],5,FALSE),"-")</f>
        <v>-</v>
      </c>
      <c r="N59" s="252"/>
      <c r="O59" s="252"/>
      <c r="P59" s="238" t="str">
        <f>_xlfn.IFNA(VLOOKUP(M59,CREXP[],2,FALSE)*$M$33,"-")</f>
        <v>-</v>
      </c>
      <c r="Q59" s="238"/>
      <c r="R59" s="238"/>
      <c r="S59" s="238"/>
      <c r="T59" s="238"/>
      <c r="U59" s="238"/>
      <c r="V59" s="238" t="str">
        <f t="shared" si="84"/>
        <v>-</v>
      </c>
      <c r="W59" s="238"/>
      <c r="X59" s="238"/>
      <c r="Y59" s="238"/>
      <c r="Z59" s="238"/>
      <c r="AA59" s="238"/>
      <c r="AB59" s="326" t="str">
        <f t="shared" si="83"/>
        <v>-</v>
      </c>
      <c r="AC59" s="231"/>
      <c r="AD59" s="231"/>
      <c r="AE59" s="232"/>
      <c r="AF59" s="100"/>
    </row>
    <row r="60" spans="1:32" ht="15" customHeight="1" x14ac:dyDescent="0.25">
      <c r="A60" s="247"/>
      <c r="B60" s="248"/>
      <c r="C60" s="248"/>
      <c r="D60" s="248"/>
      <c r="E60" s="248"/>
      <c r="F60" s="248"/>
      <c r="G60" s="248"/>
      <c r="H60" s="248"/>
      <c r="I60" s="248"/>
      <c r="J60" s="248"/>
      <c r="K60" s="249"/>
      <c r="L60" s="250"/>
      <c r="M60" s="251" t="str">
        <f>_xlfn.IFNA(VLOOKUP(A60,Creatures[],5,FALSE),"-")</f>
        <v>-</v>
      </c>
      <c r="N60" s="252"/>
      <c r="O60" s="252"/>
      <c r="P60" s="238" t="str">
        <f>_xlfn.IFNA(VLOOKUP(M60,CREXP[],2,FALSE)*$M$33,"-")</f>
        <v>-</v>
      </c>
      <c r="Q60" s="238"/>
      <c r="R60" s="238"/>
      <c r="S60" s="238"/>
      <c r="T60" s="238"/>
      <c r="U60" s="238"/>
      <c r="V60" s="238" t="str">
        <f t="shared" si="84"/>
        <v>-</v>
      </c>
      <c r="W60" s="238"/>
      <c r="X60" s="238"/>
      <c r="Y60" s="238"/>
      <c r="Z60" s="238"/>
      <c r="AA60" s="238"/>
      <c r="AB60" s="326" t="str">
        <f t="shared" si="83"/>
        <v>-</v>
      </c>
      <c r="AC60" s="231"/>
      <c r="AD60" s="231"/>
      <c r="AE60" s="232"/>
      <c r="AF60" s="100"/>
    </row>
    <row r="61" spans="1:32" ht="15" customHeight="1" x14ac:dyDescent="0.25">
      <c r="A61" s="247"/>
      <c r="B61" s="248"/>
      <c r="C61" s="248"/>
      <c r="D61" s="248"/>
      <c r="E61" s="248"/>
      <c r="F61" s="248"/>
      <c r="G61" s="248"/>
      <c r="H61" s="248"/>
      <c r="I61" s="248"/>
      <c r="J61" s="248"/>
      <c r="K61" s="249"/>
      <c r="L61" s="250"/>
      <c r="M61" s="251" t="str">
        <f>_xlfn.IFNA(VLOOKUP(A61,Creatures[],5,FALSE),"-")</f>
        <v>-</v>
      </c>
      <c r="N61" s="252"/>
      <c r="O61" s="252"/>
      <c r="P61" s="238" t="str">
        <f>_xlfn.IFNA(VLOOKUP(M61,CREXP[],2,FALSE)*$M$33,"-")</f>
        <v>-</v>
      </c>
      <c r="Q61" s="238"/>
      <c r="R61" s="238"/>
      <c r="S61" s="238"/>
      <c r="T61" s="238"/>
      <c r="U61" s="238"/>
      <c r="V61" s="238" t="str">
        <f t="shared" si="84"/>
        <v>-</v>
      </c>
      <c r="W61" s="238"/>
      <c r="X61" s="238"/>
      <c r="Y61" s="238"/>
      <c r="Z61" s="238"/>
      <c r="AA61" s="238"/>
      <c r="AB61" s="326" t="str">
        <f t="shared" si="83"/>
        <v>-</v>
      </c>
      <c r="AC61" s="231"/>
      <c r="AD61" s="231"/>
      <c r="AE61" s="232"/>
      <c r="AF61" s="100"/>
    </row>
    <row r="62" spans="1:32" ht="15" customHeight="1" x14ac:dyDescent="0.25">
      <c r="A62" s="247"/>
      <c r="B62" s="248"/>
      <c r="C62" s="248"/>
      <c r="D62" s="248"/>
      <c r="E62" s="248"/>
      <c r="F62" s="248"/>
      <c r="G62" s="248"/>
      <c r="H62" s="248"/>
      <c r="I62" s="248"/>
      <c r="J62" s="248"/>
      <c r="K62" s="249"/>
      <c r="L62" s="250"/>
      <c r="M62" s="251" t="str">
        <f>_xlfn.IFNA(VLOOKUP(A62,Creatures[],5,FALSE),"-")</f>
        <v>-</v>
      </c>
      <c r="N62" s="252"/>
      <c r="O62" s="252"/>
      <c r="P62" s="238" t="str">
        <f>_xlfn.IFNA(VLOOKUP(M62,CREXP[],2,FALSE)*$M$33,"-")</f>
        <v>-</v>
      </c>
      <c r="Q62" s="238"/>
      <c r="R62" s="238"/>
      <c r="S62" s="238"/>
      <c r="T62" s="238"/>
      <c r="U62" s="238"/>
      <c r="V62" s="238" t="str">
        <f t="shared" si="84"/>
        <v>-</v>
      </c>
      <c r="W62" s="238"/>
      <c r="X62" s="238"/>
      <c r="Y62" s="238"/>
      <c r="Z62" s="238"/>
      <c r="AA62" s="238"/>
      <c r="AB62" s="326" t="str">
        <f t="shared" si="83"/>
        <v>-</v>
      </c>
      <c r="AC62" s="231"/>
      <c r="AD62" s="231"/>
      <c r="AE62" s="232"/>
      <c r="AF62" s="100"/>
    </row>
    <row r="63" spans="1:32" ht="15" customHeight="1" thickBot="1" x14ac:dyDescent="0.3">
      <c r="A63" s="257"/>
      <c r="B63" s="258"/>
      <c r="C63" s="258"/>
      <c r="D63" s="258"/>
      <c r="E63" s="258"/>
      <c r="F63" s="258"/>
      <c r="G63" s="258"/>
      <c r="H63" s="258"/>
      <c r="I63" s="258"/>
      <c r="J63" s="258"/>
      <c r="K63" s="259"/>
      <c r="L63" s="260"/>
      <c r="M63" s="261" t="str">
        <f>_xlfn.IFNA(VLOOKUP(A63,Creatures[],5,FALSE),"-")</f>
        <v>-</v>
      </c>
      <c r="N63" s="262"/>
      <c r="O63" s="262"/>
      <c r="P63" s="239" t="str">
        <f>_xlfn.IFNA(VLOOKUP(M63,CREXP[],2,FALSE)*$M$33,"-")</f>
        <v>-</v>
      </c>
      <c r="Q63" s="239"/>
      <c r="R63" s="239"/>
      <c r="S63" s="239"/>
      <c r="T63" s="239"/>
      <c r="U63" s="239"/>
      <c r="V63" s="239" t="str">
        <f t="shared" si="84"/>
        <v>-</v>
      </c>
      <c r="W63" s="239"/>
      <c r="X63" s="239"/>
      <c r="Y63" s="239"/>
      <c r="Z63" s="239"/>
      <c r="AA63" s="239"/>
      <c r="AB63" s="331" t="str">
        <f t="shared" si="83"/>
        <v>-</v>
      </c>
      <c r="AC63" s="233"/>
      <c r="AD63" s="233"/>
      <c r="AE63" s="234"/>
      <c r="AF63" s="100"/>
    </row>
    <row r="64" spans="1:32" ht="15" customHeight="1" x14ac:dyDescent="0.25">
      <c r="AF64" s="100"/>
    </row>
  </sheetData>
  <mergeCells count="350">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AT29:AU29"/>
    <mergeCell ref="AV29:AW29"/>
    <mergeCell ref="AX29:AY29"/>
    <mergeCell ref="H28:I28"/>
    <mergeCell ref="J28:K28"/>
    <mergeCell ref="L28:M28"/>
    <mergeCell ref="N28:O28"/>
    <mergeCell ref="AD29:AE29"/>
    <mergeCell ref="AF29:AG29"/>
    <mergeCell ref="AH29:AI29"/>
    <mergeCell ref="AJ29:AK29"/>
    <mergeCell ref="AL29:AM29"/>
    <mergeCell ref="AN29:AO29"/>
    <mergeCell ref="R29:S29"/>
    <mergeCell ref="T29:U29"/>
    <mergeCell ref="V29:W29"/>
    <mergeCell ref="X29:Y29"/>
    <mergeCell ref="Z29:AA29"/>
    <mergeCell ref="AB29:AC29"/>
    <mergeCell ref="J29:K29"/>
    <mergeCell ref="L29:M29"/>
    <mergeCell ref="N29:O29"/>
    <mergeCell ref="P29:Q29"/>
    <mergeCell ref="AN30:AO30"/>
    <mergeCell ref="AP30:AQ30"/>
    <mergeCell ref="AR30:AS30"/>
    <mergeCell ref="P30:Q30"/>
    <mergeCell ref="R30:S30"/>
    <mergeCell ref="T30:U30"/>
    <mergeCell ref="V30:W30"/>
    <mergeCell ref="X30:Y30"/>
    <mergeCell ref="Z30:AA30"/>
    <mergeCell ref="AP29:AQ29"/>
    <mergeCell ref="AR29:AS29"/>
    <mergeCell ref="AT30:AU30"/>
    <mergeCell ref="AV30:AW30"/>
    <mergeCell ref="AX30:AY30"/>
    <mergeCell ref="AB30:AC30"/>
    <mergeCell ref="AD30:AE30"/>
    <mergeCell ref="AF30:AG30"/>
    <mergeCell ref="AH30:AI30"/>
    <mergeCell ref="AJ30:AK30"/>
    <mergeCell ref="AL30:AM30"/>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M48:O48"/>
    <mergeCell ref="P48:U48"/>
    <mergeCell ref="V48:AA48"/>
    <mergeCell ref="M49:O49"/>
    <mergeCell ref="P49:U49"/>
    <mergeCell ref="V49:AA49"/>
    <mergeCell ref="AB48:AE48"/>
    <mergeCell ref="AB49:AE49"/>
    <mergeCell ref="AB50:AE50"/>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M36:O36"/>
    <mergeCell ref="P36:U36"/>
    <mergeCell ref="V36:AA36"/>
    <mergeCell ref="M37:O37"/>
    <mergeCell ref="P37:U37"/>
    <mergeCell ref="V37:AA37"/>
    <mergeCell ref="P34:U34"/>
    <mergeCell ref="V34:AA34"/>
    <mergeCell ref="M35:O35"/>
    <mergeCell ref="P35:U35"/>
    <mergeCell ref="V35:AA35"/>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39:J39"/>
    <mergeCell ref="K39:L39"/>
    <mergeCell ref="A40:J40"/>
    <mergeCell ref="K40:L40"/>
    <mergeCell ref="A35:J35"/>
    <mergeCell ref="K35:L35"/>
    <mergeCell ref="A36:J36"/>
    <mergeCell ref="K36:L36"/>
    <mergeCell ref="A37:J37"/>
    <mergeCell ref="K37:L37"/>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s>
  <conditionalFormatting sqref="H14:AC23">
    <cfRule type="expression" dxfId="98" priority="478">
      <formula>MOD(H14,1)&gt;0</formula>
    </cfRule>
  </conditionalFormatting>
  <conditionalFormatting sqref="L28 N28 P28 R28 T28 V28 X28 Z28 AB28 AD28 AF28 AH28 AJ28 AL28 AN28 AP28 AR28 AT28 AV28">
    <cfRule type="expression" dxfId="97" priority="452">
      <formula>MOD(L28,1)&gt;0</formula>
    </cfRule>
  </conditionalFormatting>
  <conditionalFormatting sqref="AX28">
    <cfRule type="expression" dxfId="96" priority="453">
      <formula>MOD(AX28,1)&gt;0</formula>
    </cfRule>
  </conditionalFormatting>
  <conditionalFormatting sqref="H28 J28">
    <cfRule type="expression" dxfId="95" priority="454">
      <formula>MOD(H28,1)&gt;0</formula>
    </cfRule>
  </conditionalFormatting>
  <conditionalFormatting sqref="X30">
    <cfRule type="colorScale" priority="52">
      <colorScale>
        <cfvo type="num" val="-$X$26"/>
        <cfvo type="num" val="0"/>
        <cfvo type="num" val="$X$26"/>
        <color rgb="FFC00000"/>
        <color theme="0"/>
        <color rgb="FF00B0F0"/>
      </colorScale>
    </cfRule>
  </conditionalFormatting>
  <conditionalFormatting sqref="X30">
    <cfRule type="expression" dxfId="94" priority="51">
      <formula>$X$26=0</formula>
    </cfRule>
  </conditionalFormatting>
  <conditionalFormatting sqref="Z30">
    <cfRule type="colorScale" priority="50">
      <colorScale>
        <cfvo type="num" val="-$Z$26"/>
        <cfvo type="num" val="0"/>
        <cfvo type="num" val="$Z$26"/>
        <color rgb="FFC00000"/>
        <color theme="0"/>
        <color rgb="FF00B0F0"/>
      </colorScale>
    </cfRule>
  </conditionalFormatting>
  <conditionalFormatting sqref="Z30">
    <cfRule type="expression" dxfId="93" priority="49">
      <formula>$Z$26=0</formula>
    </cfRule>
  </conditionalFormatting>
  <conditionalFormatting sqref="AB30">
    <cfRule type="colorScale" priority="48">
      <colorScale>
        <cfvo type="num" val="-$AB$26"/>
        <cfvo type="num" val="0"/>
        <cfvo type="num" val="$AB$26"/>
        <color rgb="FFC00000"/>
        <color theme="0"/>
        <color rgb="FF00B0F0"/>
      </colorScale>
    </cfRule>
  </conditionalFormatting>
  <conditionalFormatting sqref="AB30">
    <cfRule type="expression" dxfId="92" priority="47">
      <formula>$AB$26=0</formula>
    </cfRule>
  </conditionalFormatting>
  <conditionalFormatting sqref="AD30">
    <cfRule type="colorScale" priority="46">
      <colorScale>
        <cfvo type="num" val="-$AD$26"/>
        <cfvo type="num" val="0"/>
        <cfvo type="num" val="$AD$26"/>
        <color rgb="FFC00000"/>
        <color theme="0"/>
        <color rgb="FF00B0F0"/>
      </colorScale>
    </cfRule>
  </conditionalFormatting>
  <conditionalFormatting sqref="AD30">
    <cfRule type="expression" dxfId="91" priority="45">
      <formula>$AD$26=0</formula>
    </cfRule>
  </conditionalFormatting>
  <conditionalFormatting sqref="AF30">
    <cfRule type="colorScale" priority="44">
      <colorScale>
        <cfvo type="num" val="-$AF$26"/>
        <cfvo type="num" val="0"/>
        <cfvo type="num" val="$AF$26"/>
        <color rgb="FFC00000"/>
        <color theme="0"/>
        <color rgb="FF00B0F0"/>
      </colorScale>
    </cfRule>
  </conditionalFormatting>
  <conditionalFormatting sqref="AF30">
    <cfRule type="expression" dxfId="90" priority="43">
      <formula>$AF$26=0</formula>
    </cfRule>
  </conditionalFormatting>
  <conditionalFormatting sqref="AH30">
    <cfRule type="colorScale" priority="42">
      <colorScale>
        <cfvo type="num" val="-$AH$26"/>
        <cfvo type="num" val="0"/>
        <cfvo type="num" val="$AH$26"/>
        <color rgb="FFC00000"/>
        <color theme="0"/>
        <color rgb="FF00B0F0"/>
      </colorScale>
    </cfRule>
  </conditionalFormatting>
  <conditionalFormatting sqref="AH30">
    <cfRule type="expression" dxfId="89" priority="41">
      <formula>$AH$26=0</formula>
    </cfRule>
  </conditionalFormatting>
  <conditionalFormatting sqref="AJ30">
    <cfRule type="colorScale" priority="40">
      <colorScale>
        <cfvo type="num" val="-$AJ$26"/>
        <cfvo type="num" val="0"/>
        <cfvo type="num" val="$AJ$26"/>
        <color rgb="FFC00000"/>
        <color theme="0"/>
        <color rgb="FF00B0F0"/>
      </colorScale>
    </cfRule>
  </conditionalFormatting>
  <conditionalFormatting sqref="AJ30">
    <cfRule type="expression" dxfId="88" priority="39">
      <formula>$AJ$26=0</formula>
    </cfRule>
  </conditionalFormatting>
  <conditionalFormatting sqref="AL30">
    <cfRule type="colorScale" priority="38">
      <colorScale>
        <cfvo type="num" val="-$AL$26"/>
        <cfvo type="num" val="0"/>
        <cfvo type="num" val="$AL$26"/>
        <color rgb="FFC00000"/>
        <color theme="0"/>
        <color rgb="FF00B0F0"/>
      </colorScale>
    </cfRule>
  </conditionalFormatting>
  <conditionalFormatting sqref="AL30">
    <cfRule type="expression" dxfId="87" priority="37">
      <formula>$AL$26=0</formula>
    </cfRule>
  </conditionalFormatting>
  <conditionalFormatting sqref="AV30">
    <cfRule type="colorScale" priority="28">
      <colorScale>
        <cfvo type="num" val="-$AV$26"/>
        <cfvo type="num" val="0"/>
        <cfvo type="num" val="$AV$26"/>
        <color rgb="FFC00000"/>
        <color theme="0"/>
        <color rgb="FF00B0F0"/>
      </colorScale>
    </cfRule>
  </conditionalFormatting>
  <conditionalFormatting sqref="AV30">
    <cfRule type="expression" dxfId="86" priority="27">
      <formula>$AV$26=0</formula>
    </cfRule>
  </conditionalFormatting>
  <conditionalFormatting sqref="AX30">
    <cfRule type="colorScale" priority="26">
      <colorScale>
        <cfvo type="num" val="-$AX$26"/>
        <cfvo type="num" val="0"/>
        <cfvo type="num" val="$AX$26"/>
        <color rgb="FFC00000"/>
        <color theme="0"/>
        <color rgb="FF00B0F0"/>
      </colorScale>
    </cfRule>
  </conditionalFormatting>
  <conditionalFormatting sqref="AX30">
    <cfRule type="expression" dxfId="85" priority="25">
      <formula>$AX$26=0</formula>
    </cfRule>
  </conditionalFormatting>
  <conditionalFormatting sqref="H30">
    <cfRule type="expression" dxfId="84" priority="67">
      <formula>$H$26=0</formula>
    </cfRule>
    <cfRule type="colorScale" priority="68">
      <colorScale>
        <cfvo type="num" val="-$H$26"/>
        <cfvo type="num" val="0"/>
        <cfvo type="num" val="$H$26"/>
        <color rgb="FFC00000"/>
        <color theme="0"/>
        <color rgb="FF00B0F0"/>
      </colorScale>
    </cfRule>
  </conditionalFormatting>
  <conditionalFormatting sqref="J30">
    <cfRule type="expression" dxfId="83" priority="65">
      <formula>$J$26=0</formula>
    </cfRule>
    <cfRule type="colorScale" priority="66">
      <colorScale>
        <cfvo type="num" val="-$J$26"/>
        <cfvo type="num" val="0"/>
        <cfvo type="num" val="$J$26"/>
        <color rgb="FFC00000"/>
        <color theme="0"/>
        <color rgb="FF00B0F0"/>
      </colorScale>
    </cfRule>
  </conditionalFormatting>
  <conditionalFormatting sqref="L30">
    <cfRule type="expression" dxfId="82" priority="63">
      <formula>$L$26=0</formula>
    </cfRule>
    <cfRule type="colorScale" priority="64">
      <colorScale>
        <cfvo type="num" val="-$L$26"/>
        <cfvo type="num" val="0"/>
        <cfvo type="num" val="$L$26"/>
        <color rgb="FFC00000"/>
        <color theme="0"/>
        <color rgb="FF00B0F0"/>
      </colorScale>
    </cfRule>
  </conditionalFormatting>
  <conditionalFormatting sqref="N30">
    <cfRule type="expression" dxfId="81" priority="61">
      <formula>$N$26=0</formula>
    </cfRule>
    <cfRule type="colorScale" priority="62">
      <colorScale>
        <cfvo type="num" val="-$N$26"/>
        <cfvo type="num" val="0"/>
        <cfvo type="num" val="$N$26"/>
        <color rgb="FFC00000"/>
        <color theme="0"/>
        <color rgb="FF00B0F0"/>
      </colorScale>
    </cfRule>
  </conditionalFormatting>
  <conditionalFormatting sqref="P30">
    <cfRule type="expression" dxfId="80" priority="59">
      <formula>$P$26=0</formula>
    </cfRule>
    <cfRule type="colorScale" priority="60">
      <colorScale>
        <cfvo type="num" val="-$P$26"/>
        <cfvo type="num" val="0"/>
        <cfvo type="num" val="$P$26"/>
        <color rgb="FFC00000"/>
        <color theme="0"/>
        <color rgb="FF00B0F0"/>
      </colorScale>
    </cfRule>
  </conditionalFormatting>
  <conditionalFormatting sqref="R30">
    <cfRule type="expression" dxfId="79" priority="57">
      <formula>$R$26=0</formula>
    </cfRule>
    <cfRule type="colorScale" priority="58">
      <colorScale>
        <cfvo type="num" val="-$R$26"/>
        <cfvo type="num" val="0"/>
        <cfvo type="num" val="$R$26"/>
        <color rgb="FFC00000"/>
        <color theme="0"/>
        <color rgb="FF00B0F0"/>
      </colorScale>
    </cfRule>
  </conditionalFormatting>
  <conditionalFormatting sqref="T30">
    <cfRule type="expression" dxfId="78" priority="55">
      <formula>$T$26=0</formula>
    </cfRule>
    <cfRule type="colorScale" priority="56">
      <colorScale>
        <cfvo type="num" val="-$T$26"/>
        <cfvo type="num" val="0"/>
        <cfvo type="num" val="$T$26"/>
        <color rgb="FFC00000"/>
        <color theme="0"/>
        <color rgb="FF00B0F0"/>
      </colorScale>
    </cfRule>
  </conditionalFormatting>
  <conditionalFormatting sqref="V30">
    <cfRule type="expression" dxfId="77" priority="53">
      <formula>$V$26=0</formula>
    </cfRule>
    <cfRule type="colorScale" priority="54">
      <colorScale>
        <cfvo type="num" val="-$V$26"/>
        <cfvo type="num" val="0"/>
        <cfvo type="num" val="$V$26"/>
        <color rgb="FFC00000"/>
        <color theme="0"/>
        <color rgb="FF00B0F0"/>
      </colorScale>
    </cfRule>
  </conditionalFormatting>
  <conditionalFormatting sqref="AN30">
    <cfRule type="colorScale" priority="36">
      <colorScale>
        <cfvo type="num" val="-$AN$26"/>
        <cfvo type="num" val="0"/>
        <cfvo type="num" val="$AN$26"/>
        <color rgb="FFC00000"/>
        <color theme="0"/>
        <color rgb="FF00B0F0"/>
      </colorScale>
    </cfRule>
  </conditionalFormatting>
  <conditionalFormatting sqref="AN30">
    <cfRule type="expression" dxfId="76" priority="35">
      <formula>$AN$26=0</formula>
    </cfRule>
  </conditionalFormatting>
  <conditionalFormatting sqref="AP30">
    <cfRule type="colorScale" priority="34">
      <colorScale>
        <cfvo type="num" val="-$AP$26"/>
        <cfvo type="num" val="0"/>
        <cfvo type="num" val="$AP$26"/>
        <color rgb="FFC00000"/>
        <color theme="0"/>
        <color rgb="FF00B0F0"/>
      </colorScale>
    </cfRule>
  </conditionalFormatting>
  <conditionalFormatting sqref="AP30">
    <cfRule type="expression" dxfId="75" priority="33">
      <formula>$AP$26=0</formula>
    </cfRule>
  </conditionalFormatting>
  <conditionalFormatting sqref="AR30">
    <cfRule type="colorScale" priority="32">
      <colorScale>
        <cfvo type="num" val="-$AR$26"/>
        <cfvo type="num" val="0"/>
        <cfvo type="num" val="$AR$26"/>
        <color rgb="FFC00000"/>
        <color theme="0"/>
        <color rgb="FF00B0F0"/>
      </colorScale>
    </cfRule>
  </conditionalFormatting>
  <conditionalFormatting sqref="AR30">
    <cfRule type="expression" dxfId="74" priority="31">
      <formula>$AR$26=0</formula>
    </cfRule>
  </conditionalFormatting>
  <conditionalFormatting sqref="AT30">
    <cfRule type="colorScale" priority="30">
      <colorScale>
        <cfvo type="num" val="-$AT$26"/>
        <cfvo type="num" val="0"/>
        <cfvo type="num" val="$AT$26"/>
        <color rgb="FFC00000"/>
        <color theme="0"/>
        <color rgb="FF00B0F0"/>
      </colorScale>
    </cfRule>
  </conditionalFormatting>
  <conditionalFormatting sqref="AT30">
    <cfRule type="expression" dxfId="73" priority="29">
      <formula>$AT$26=0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PullLoadView">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6" id="{4821C5A8-0C82-4B02-B484-06D994249D92}">
            <x14:colorScale>
              <x14:cfvo type="num">
                <xm:f>0</xm:f>
              </x14:cfvo>
              <x14:cfvo type="num">
                <xm:f>'Readied Encounter'!$C$5/2</xm:f>
              </x14:cfvo>
              <x14:cfvo type="num">
                <xm:f>'Readied Encounter'!$C$5</xm:f>
              </x14:cfvo>
              <x14:color rgb="FFF8696B"/>
              <x14:color rgb="FFFFEB84"/>
              <x14:color rgb="FF63BE7B"/>
            </x14:colorScale>
          </x14:cfRule>
          <xm:sqref>D5</xm:sqref>
        </x14:conditionalFormatting>
        <x14:conditionalFormatting xmlns:xm="http://schemas.microsoft.com/office/excel/2006/main">
          <x14:cfRule type="colorScale" priority="5" id="{796EA53C-11B2-44E9-892D-CE2959A6C346}">
            <x14:colorScale>
              <x14:cfvo type="num">
                <xm:f>0</xm:f>
              </x14:cfvo>
              <x14:cfvo type="num">
                <xm:f>'Readied Encounter'!$C$6/2</xm:f>
              </x14:cfvo>
              <x14:cfvo type="num">
                <xm:f>'Readied Encounter'!$C$6</xm:f>
              </x14:cfvo>
              <x14:color rgb="FFF8696B"/>
              <x14:color rgb="FFFFEB84"/>
              <x14:color rgb="FF63BE7B"/>
            </x14:colorScale>
          </x14:cfRule>
          <xm:sqref>D6</xm:sqref>
        </x14:conditionalFormatting>
        <x14:conditionalFormatting xmlns:xm="http://schemas.microsoft.com/office/excel/2006/main">
          <x14:cfRule type="colorScale" priority="4" id="{C4350609-61A4-41C9-A5EF-F826BEE00E8B}">
            <x14:colorScale>
              <x14:cfvo type="num">
                <xm:f>0</xm:f>
              </x14:cfvo>
              <x14:cfvo type="num">
                <xm:f>'Readied Encounter'!$C$7/2</xm:f>
              </x14:cfvo>
              <x14:cfvo type="num">
                <xm:f>'Readied Encounter'!$C$7</xm:f>
              </x14:cfvo>
              <x14:color rgb="FFF8696B"/>
              <x14:color rgb="FFFFEB84"/>
              <x14:color rgb="FF63BE7B"/>
            </x14:colorScale>
          </x14:cfRule>
          <xm:sqref>D7</xm:sqref>
        </x14:conditionalFormatting>
        <x14:conditionalFormatting xmlns:xm="http://schemas.microsoft.com/office/excel/2006/main">
          <x14:cfRule type="colorScale" priority="3" id="{F54BE27D-24BC-4940-808A-DCE78FF90583}">
            <x14:colorScale>
              <x14:cfvo type="num">
                <xm:f>0</xm:f>
              </x14:cfvo>
              <x14:cfvo type="num">
                <xm:f>'Readied Encounter'!$C$8/2</xm:f>
              </x14:cfvo>
              <x14:cfvo type="num">
                <xm:f>'Readied Encounter'!$C$8</xm:f>
              </x14:cfvo>
              <x14:color rgb="FFF8696B"/>
              <x14:color rgb="FFFFEB84"/>
              <x14:color rgb="FF63BE7B"/>
            </x14:colorScale>
          </x14:cfRule>
          <xm:sqref>D8</xm:sqref>
        </x14:conditionalFormatting>
        <x14:conditionalFormatting xmlns:xm="http://schemas.microsoft.com/office/excel/2006/main">
          <x14:cfRule type="colorScale" priority="2" id="{0C1697EA-923D-4812-A299-EB498B6EADC1}">
            <x14:colorScale>
              <x14:cfvo type="num">
                <xm:f>0</xm:f>
              </x14:cfvo>
              <x14:cfvo type="num">
                <xm:f>'Readied Encounter'!$C$9/2</xm:f>
              </x14:cfvo>
              <x14:cfvo type="num">
                <xm:f>'Readied Encounter'!$C$9</xm:f>
              </x14:cfvo>
              <x14:color rgb="FFF8696B"/>
              <x14:color rgb="FFFFEB84"/>
              <x14:color rgb="FF63BE7B"/>
            </x14:colorScale>
          </x14:cfRule>
          <xm:sqref>D9</xm:sqref>
        </x14:conditionalFormatting>
        <x14:conditionalFormatting xmlns:xm="http://schemas.microsoft.com/office/excel/2006/main">
          <x14:cfRule type="colorScale" priority="1" id="{AE4ED742-FD9F-4C66-AA21-AC34D4244CC9}">
            <x14:colorScale>
              <x14:cfvo type="num">
                <xm:f>0</xm:f>
              </x14:cfvo>
              <x14:cfvo type="num">
                <xm:f>'Readied Encounter'!$C$10/2</xm:f>
              </x14:cfvo>
              <x14:cfvo type="num">
                <xm:f>'Readied Encounter'!$C$10</xm:f>
              </x14:cfvo>
              <x14:color rgb="FFF8696B"/>
              <x14:color rgb="FFFFEB84"/>
              <x14:color rgb="FF63BE7B"/>
            </x14:colorScale>
          </x14:cfRule>
          <xm:sqref>D10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RowColHeaders="0" workbookViewId="0">
      <selection activeCell="BF12" sqref="BF12"/>
    </sheetView>
  </sheetViews>
  <sheetFormatPr defaultRowHeight="15" x14ac:dyDescent="0.25"/>
  <cols>
    <col min="1" max="1" width="18.140625" style="100" bestFit="1" customWidth="1"/>
    <col min="2" max="2" width="12.28515625" style="100" bestFit="1" customWidth="1"/>
    <col min="3" max="3" width="4.28515625" style="100" bestFit="1" customWidth="1"/>
    <col min="4" max="4" width="12.28515625" style="100" bestFit="1" customWidth="1"/>
    <col min="5" max="5" width="5.28515625" style="100" bestFit="1" customWidth="1"/>
    <col min="6" max="6" width="12.28515625" style="100" bestFit="1" customWidth="1"/>
    <col min="7" max="7" width="5.28515625" style="100" bestFit="1" customWidth="1"/>
    <col min="8" max="8" width="12.28515625" style="100" bestFit="1" customWidth="1"/>
    <col min="9" max="9" width="5.28515625" style="100" bestFit="1" customWidth="1"/>
    <col min="10" max="10" width="12.28515625" style="100" bestFit="1" customWidth="1"/>
    <col min="11" max="11" width="5.28515625" style="100" bestFit="1" customWidth="1"/>
    <col min="12" max="12" width="12.28515625" style="100" bestFit="1" customWidth="1"/>
    <col min="13" max="13" width="5.28515625" style="100" bestFit="1" customWidth="1"/>
    <col min="14" max="14" width="12.28515625" style="100" bestFit="1" customWidth="1"/>
    <col min="15" max="15" width="5.28515625" style="100" bestFit="1" customWidth="1"/>
    <col min="16" max="16" width="12.28515625" style="100" bestFit="1" customWidth="1"/>
    <col min="17" max="17" width="5.28515625" style="100" bestFit="1" customWidth="1"/>
    <col min="18" max="18" width="12.28515625" style="100" bestFit="1" customWidth="1"/>
    <col min="19" max="19" width="5.28515625" style="100" bestFit="1" customWidth="1"/>
    <col min="20" max="20" width="13.28515625" style="100" bestFit="1" customWidth="1"/>
    <col min="21" max="21" width="6.28515625" style="100" bestFit="1" customWidth="1"/>
    <col min="22" max="22" width="13.28515625" style="100" bestFit="1" customWidth="1"/>
    <col min="23" max="23" width="6.28515625" style="100" bestFit="1" customWidth="1"/>
    <col min="24" max="24" width="13.28515625" style="100" bestFit="1" customWidth="1"/>
    <col min="25" max="25" width="6.28515625" style="100" bestFit="1" customWidth="1"/>
    <col min="26" max="26" width="13.28515625" style="100" bestFit="1" customWidth="1"/>
    <col min="27" max="27" width="6.28515625" style="100" bestFit="1" customWidth="1"/>
    <col min="28" max="28" width="13.28515625" style="100" bestFit="1" customWidth="1"/>
    <col min="29" max="29" width="6.28515625" style="100" bestFit="1" customWidth="1"/>
    <col min="30" max="30" width="13.28515625" style="100" bestFit="1" customWidth="1"/>
    <col min="31" max="31" width="6.28515625" style="100" bestFit="1" customWidth="1"/>
    <col min="32" max="32" width="13.28515625" style="100" bestFit="1" customWidth="1"/>
    <col min="33" max="33" width="6.28515625" style="100" bestFit="1" customWidth="1"/>
    <col min="34" max="34" width="13.28515625" style="100" bestFit="1" customWidth="1"/>
    <col min="35" max="35" width="6.28515625" style="100" bestFit="1" customWidth="1"/>
    <col min="36" max="36" width="13.28515625" style="100" bestFit="1" customWidth="1"/>
    <col min="37" max="37" width="6.28515625" style="100" bestFit="1" customWidth="1"/>
    <col min="38" max="38" width="13.28515625" style="100" bestFit="1" customWidth="1"/>
    <col min="39" max="39" width="6.28515625" style="100" bestFit="1" customWidth="1"/>
    <col min="40" max="40" width="13.28515625" style="100" bestFit="1" customWidth="1"/>
    <col min="41" max="41" width="6.28515625" style="100" bestFit="1" customWidth="1"/>
    <col min="42" max="42" width="13.28515625" style="100" bestFit="1" customWidth="1"/>
    <col min="43" max="43" width="6.28515625" style="100" bestFit="1" customWidth="1"/>
    <col min="44" max="44" width="13.28515625" style="100" bestFit="1" customWidth="1"/>
    <col min="45" max="45" width="6.28515625" style="100" bestFit="1" customWidth="1"/>
    <col min="46" max="46" width="13.28515625" style="100" bestFit="1" customWidth="1"/>
    <col min="47" max="47" width="6.28515625" style="100" bestFit="1" customWidth="1"/>
    <col min="48" max="48" width="13.28515625" style="100" bestFit="1" customWidth="1"/>
    <col min="49" max="49" width="6.28515625" style="100" bestFit="1" customWidth="1"/>
    <col min="50" max="50" width="13.28515625" style="100" bestFit="1" customWidth="1"/>
    <col min="51" max="51" width="6.28515625" style="100" bestFit="1" customWidth="1"/>
    <col min="52" max="52" width="13.28515625" style="100" bestFit="1" customWidth="1"/>
    <col min="53" max="53" width="6.28515625" style="100" bestFit="1" customWidth="1"/>
    <col min="54" max="54" width="13.28515625" style="100" bestFit="1" customWidth="1"/>
    <col min="55" max="55" width="6.28515625" style="100" bestFit="1" customWidth="1"/>
    <col min="56" max="56" width="13.28515625" style="100" bestFit="1" customWidth="1"/>
    <col min="57" max="57" width="6.28515625" style="100" bestFit="1" customWidth="1"/>
    <col min="58" max="58" width="13.28515625" style="100" bestFit="1" customWidth="1"/>
    <col min="59" max="59" width="6.28515625" style="100" bestFit="1" customWidth="1"/>
    <col min="60" max="60" width="13.28515625" style="100" bestFit="1" customWidth="1"/>
    <col min="61" max="61" width="6.28515625" style="100" bestFit="1" customWidth="1"/>
    <col min="62" max="16384" width="9.140625" style="100"/>
  </cols>
  <sheetData>
    <row r="1" spans="1:61" x14ac:dyDescent="0.25">
      <c r="A1" s="12" t="s">
        <v>1045</v>
      </c>
      <c r="B1" s="12" t="s">
        <v>1424</v>
      </c>
      <c r="C1" s="12" t="s">
        <v>1388</v>
      </c>
      <c r="D1" s="12" t="s">
        <v>1425</v>
      </c>
      <c r="E1" s="12" t="s">
        <v>1392</v>
      </c>
      <c r="F1" s="12" t="s">
        <v>1426</v>
      </c>
      <c r="G1" s="12" t="s">
        <v>1407</v>
      </c>
      <c r="H1" s="12" t="s">
        <v>1427</v>
      </c>
      <c r="I1" s="12" t="s">
        <v>1408</v>
      </c>
      <c r="J1" s="12" t="s">
        <v>1428</v>
      </c>
      <c r="K1" s="12" t="s">
        <v>1409</v>
      </c>
      <c r="L1" s="12" t="s">
        <v>1429</v>
      </c>
      <c r="M1" s="12" t="s">
        <v>1410</v>
      </c>
      <c r="N1" s="12" t="s">
        <v>1430</v>
      </c>
      <c r="O1" s="12" t="s">
        <v>1411</v>
      </c>
      <c r="P1" s="12" t="s">
        <v>1431</v>
      </c>
      <c r="Q1" s="12" t="s">
        <v>1412</v>
      </c>
      <c r="R1" s="12" t="s">
        <v>1432</v>
      </c>
      <c r="S1" s="12" t="s">
        <v>1413</v>
      </c>
      <c r="T1" s="12" t="s">
        <v>1433</v>
      </c>
      <c r="U1" s="12" t="s">
        <v>1414</v>
      </c>
      <c r="V1" s="12" t="s">
        <v>1434</v>
      </c>
      <c r="W1" s="12" t="s">
        <v>1393</v>
      </c>
      <c r="X1" s="12" t="s">
        <v>1435</v>
      </c>
      <c r="Y1" s="12" t="s">
        <v>1394</v>
      </c>
      <c r="Z1" s="12" t="s">
        <v>1436</v>
      </c>
      <c r="AA1" s="12" t="s">
        <v>1415</v>
      </c>
      <c r="AB1" s="12" t="s">
        <v>1437</v>
      </c>
      <c r="AC1" s="12" t="s">
        <v>1395</v>
      </c>
      <c r="AD1" s="12" t="s">
        <v>1438</v>
      </c>
      <c r="AE1" s="12" t="s">
        <v>1396</v>
      </c>
      <c r="AF1" s="12" t="s">
        <v>1439</v>
      </c>
      <c r="AG1" s="12" t="s">
        <v>1416</v>
      </c>
      <c r="AH1" s="12" t="s">
        <v>1440</v>
      </c>
      <c r="AI1" s="12" t="s">
        <v>1397</v>
      </c>
      <c r="AJ1" s="12" t="s">
        <v>1441</v>
      </c>
      <c r="AK1" s="12" t="s">
        <v>1398</v>
      </c>
      <c r="AL1" s="12" t="s">
        <v>1442</v>
      </c>
      <c r="AM1" s="12" t="s">
        <v>1417</v>
      </c>
      <c r="AN1" s="12" t="s">
        <v>1443</v>
      </c>
      <c r="AO1" s="12" t="s">
        <v>1399</v>
      </c>
      <c r="AP1" s="12" t="s">
        <v>1444</v>
      </c>
      <c r="AQ1" s="12" t="s">
        <v>1400</v>
      </c>
      <c r="AR1" s="12" t="s">
        <v>1445</v>
      </c>
      <c r="AS1" s="12" t="s">
        <v>1418</v>
      </c>
      <c r="AT1" s="12" t="s">
        <v>1446</v>
      </c>
      <c r="AU1" s="12" t="s">
        <v>1401</v>
      </c>
      <c r="AV1" s="12" t="s">
        <v>1447</v>
      </c>
      <c r="AW1" s="12" t="s">
        <v>1402</v>
      </c>
      <c r="AX1" s="12" t="s">
        <v>1448</v>
      </c>
      <c r="AY1" s="12" t="s">
        <v>1419</v>
      </c>
      <c r="AZ1" s="12" t="s">
        <v>1449</v>
      </c>
      <c r="BA1" s="12" t="s">
        <v>1403</v>
      </c>
      <c r="BB1" s="12" t="s">
        <v>1450</v>
      </c>
      <c r="BC1" s="12" t="s">
        <v>1404</v>
      </c>
      <c r="BD1" s="12" t="s">
        <v>1451</v>
      </c>
      <c r="BE1" s="12" t="s">
        <v>1420</v>
      </c>
      <c r="BF1" s="12" t="s">
        <v>1452</v>
      </c>
      <c r="BG1" s="12" t="s">
        <v>1405</v>
      </c>
      <c r="BH1" s="12" t="s">
        <v>1453</v>
      </c>
      <c r="BI1" s="12" t="s">
        <v>1406</v>
      </c>
    </row>
    <row r="2" spans="1:61" x14ac:dyDescent="0.25">
      <c r="A2" s="12" t="s">
        <v>1454</v>
      </c>
      <c r="B2" s="12" t="s">
        <v>815</v>
      </c>
      <c r="C2" s="12">
        <v>4</v>
      </c>
      <c r="D2" s="12" t="s">
        <v>459</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G476"/>
  <sheetViews>
    <sheetView showRowColHeaders="0" workbookViewId="0">
      <pane xSplit="1" topLeftCell="B1" activePane="topRight" state="frozen"/>
      <selection activeCell="A461" sqref="A461"/>
      <selection pane="topRight" activeCell="J16" sqref="J16"/>
    </sheetView>
  </sheetViews>
  <sheetFormatPr defaultColWidth="9.140625" defaultRowHeight="15" x14ac:dyDescent="0.25"/>
  <cols>
    <col min="1" max="1" width="26.42578125" style="100" bestFit="1" customWidth="1"/>
    <col min="2" max="2" width="23.28515625" style="100" bestFit="1" customWidth="1"/>
    <col min="3" max="3" width="21" style="100" bestFit="1" customWidth="1"/>
    <col min="4" max="4" width="16" style="100" bestFit="1" customWidth="1"/>
    <col min="5" max="5" width="5.5703125" style="100" bestFit="1" customWidth="1"/>
    <col min="6" max="6" width="7" style="100" bestFit="1" customWidth="1"/>
    <col min="7" max="7" width="9.28515625" style="100" bestFit="1" customWidth="1"/>
    <col min="8" max="8" width="9.140625" style="100" customWidth="1"/>
    <col min="9" max="16384" width="9.140625" style="100"/>
  </cols>
  <sheetData>
    <row r="1" spans="1:7" x14ac:dyDescent="0.25">
      <c r="A1" s="1" t="s">
        <v>0</v>
      </c>
      <c r="B1" s="1" t="s">
        <v>1</v>
      </c>
      <c r="C1" s="1" t="s">
        <v>2</v>
      </c>
      <c r="D1" s="1" t="s">
        <v>3</v>
      </c>
      <c r="E1" s="2" t="s">
        <v>6</v>
      </c>
      <c r="F1" s="1" t="s">
        <v>7</v>
      </c>
      <c r="G1" s="1" t="s">
        <v>8</v>
      </c>
    </row>
    <row r="2" spans="1:7" x14ac:dyDescent="0.25">
      <c r="A2" s="3" t="s">
        <v>9</v>
      </c>
      <c r="B2" s="1" t="s">
        <v>10</v>
      </c>
      <c r="C2" s="1">
        <v>12</v>
      </c>
      <c r="D2" s="1" t="s">
        <v>11</v>
      </c>
      <c r="E2" s="4" t="s">
        <v>1143</v>
      </c>
      <c r="F2" s="1">
        <v>50</v>
      </c>
      <c r="G2" s="1" t="s">
        <v>12</v>
      </c>
    </row>
    <row r="3" spans="1:7" x14ac:dyDescent="0.25">
      <c r="A3" s="3" t="s">
        <v>13</v>
      </c>
      <c r="B3" s="1" t="s">
        <v>14</v>
      </c>
      <c r="C3" s="1">
        <v>17</v>
      </c>
      <c r="D3" s="1" t="s">
        <v>15</v>
      </c>
      <c r="E3" s="2">
        <v>10</v>
      </c>
      <c r="F3" s="1">
        <v>5900</v>
      </c>
      <c r="G3" s="1" t="s">
        <v>16</v>
      </c>
    </row>
    <row r="4" spans="1:7" x14ac:dyDescent="0.25">
      <c r="A4" s="3" t="s">
        <v>17</v>
      </c>
      <c r="B4" s="1" t="s">
        <v>18</v>
      </c>
      <c r="C4" s="1">
        <v>15</v>
      </c>
      <c r="D4" s="1">
        <v>137</v>
      </c>
      <c r="E4" s="2">
        <v>9</v>
      </c>
      <c r="F4" s="1">
        <v>5000</v>
      </c>
      <c r="G4" s="1" t="s">
        <v>19</v>
      </c>
    </row>
    <row r="5" spans="1:7" ht="30" x14ac:dyDescent="0.25">
      <c r="A5" s="3" t="s">
        <v>20</v>
      </c>
      <c r="B5" s="1" t="s">
        <v>21</v>
      </c>
      <c r="C5" s="1">
        <v>10</v>
      </c>
      <c r="D5" s="1" t="s">
        <v>22</v>
      </c>
      <c r="E5" s="4" t="s">
        <v>1143</v>
      </c>
      <c r="F5" s="1">
        <v>50</v>
      </c>
      <c r="G5" s="1" t="s">
        <v>23</v>
      </c>
    </row>
    <row r="6" spans="1:7" x14ac:dyDescent="0.25">
      <c r="A6" s="3" t="s">
        <v>24</v>
      </c>
      <c r="B6" s="1" t="s">
        <v>25</v>
      </c>
      <c r="C6" s="1" t="s">
        <v>26</v>
      </c>
      <c r="D6" s="1" t="s">
        <v>27</v>
      </c>
      <c r="E6" s="2"/>
      <c r="F6" s="1">
        <v>10</v>
      </c>
      <c r="G6" s="1" t="s">
        <v>26</v>
      </c>
    </row>
    <row r="7" spans="1:7" x14ac:dyDescent="0.25">
      <c r="A7" s="3" t="s">
        <v>28</v>
      </c>
      <c r="B7" s="1" t="s">
        <v>25</v>
      </c>
      <c r="C7" s="1">
        <v>19</v>
      </c>
      <c r="D7" s="1" t="s">
        <v>29</v>
      </c>
      <c r="E7" s="2"/>
      <c r="F7" s="1">
        <v>10</v>
      </c>
      <c r="G7" s="1" t="s">
        <v>26</v>
      </c>
    </row>
    <row r="8" spans="1:7" x14ac:dyDescent="0.25">
      <c r="A8" s="3" t="s">
        <v>30</v>
      </c>
      <c r="B8" s="1" t="s">
        <v>31</v>
      </c>
      <c r="C8" s="1">
        <v>15</v>
      </c>
      <c r="D8" s="1" t="s">
        <v>32</v>
      </c>
      <c r="E8" s="2">
        <v>5</v>
      </c>
      <c r="F8" s="1">
        <v>1800</v>
      </c>
      <c r="G8" s="1" t="s">
        <v>33</v>
      </c>
    </row>
    <row r="9" spans="1:7" x14ac:dyDescent="0.25">
      <c r="A9" s="3" t="s">
        <v>34</v>
      </c>
      <c r="B9" s="1" t="s">
        <v>35</v>
      </c>
      <c r="C9" s="1">
        <v>13</v>
      </c>
      <c r="D9" s="1"/>
      <c r="E9" s="2">
        <v>2</v>
      </c>
      <c r="F9" s="1">
        <v>450</v>
      </c>
      <c r="G9" s="1" t="s">
        <v>36</v>
      </c>
    </row>
    <row r="10" spans="1:7" x14ac:dyDescent="0.25">
      <c r="A10" s="3" t="s">
        <v>37</v>
      </c>
      <c r="B10" s="1" t="s">
        <v>38</v>
      </c>
      <c r="C10" s="1">
        <v>17</v>
      </c>
      <c r="D10" s="1"/>
      <c r="E10" s="2">
        <v>17</v>
      </c>
      <c r="F10" s="1">
        <v>18000</v>
      </c>
      <c r="G10" s="1" t="s">
        <v>39</v>
      </c>
    </row>
    <row r="11" spans="1:7" x14ac:dyDescent="0.25">
      <c r="A11" s="3" t="s">
        <v>40</v>
      </c>
      <c r="B11" s="1" t="s">
        <v>41</v>
      </c>
      <c r="C11" s="1">
        <v>18</v>
      </c>
      <c r="D11" s="1" t="s">
        <v>42</v>
      </c>
      <c r="E11" s="2">
        <v>1</v>
      </c>
      <c r="F11" s="1">
        <v>200</v>
      </c>
      <c r="G11" s="1" t="s">
        <v>43</v>
      </c>
    </row>
    <row r="12" spans="1:7" x14ac:dyDescent="0.25">
      <c r="A12" s="3" t="s">
        <v>44</v>
      </c>
      <c r="B12" s="1" t="s">
        <v>38</v>
      </c>
      <c r="C12" s="1">
        <v>14</v>
      </c>
      <c r="D12" s="1" t="s">
        <v>45</v>
      </c>
      <c r="E12" s="2">
        <v>2</v>
      </c>
      <c r="F12" s="1">
        <v>450</v>
      </c>
      <c r="G12" s="1" t="s">
        <v>46</v>
      </c>
    </row>
    <row r="13" spans="1:7" x14ac:dyDescent="0.25">
      <c r="A13" s="3" t="s">
        <v>47</v>
      </c>
      <c r="B13" s="1" t="s">
        <v>48</v>
      </c>
      <c r="C13" s="1">
        <v>15</v>
      </c>
      <c r="D13" s="1"/>
      <c r="E13" s="2">
        <v>3</v>
      </c>
      <c r="F13" s="1">
        <v>700</v>
      </c>
      <c r="G13" s="1" t="s">
        <v>36</v>
      </c>
    </row>
    <row r="14" spans="1:7" x14ac:dyDescent="0.25">
      <c r="A14" s="3" t="s">
        <v>49</v>
      </c>
      <c r="B14" s="1" t="s">
        <v>50</v>
      </c>
      <c r="C14" s="1">
        <v>12</v>
      </c>
      <c r="D14" s="1">
        <v>19</v>
      </c>
      <c r="E14" s="4" t="s">
        <v>1144</v>
      </c>
      <c r="F14" s="1">
        <v>100</v>
      </c>
      <c r="G14" s="1" t="s">
        <v>51</v>
      </c>
    </row>
    <row r="15" spans="1:7" x14ac:dyDescent="0.25">
      <c r="A15" s="3" t="s">
        <v>52</v>
      </c>
      <c r="B15" s="1" t="s">
        <v>53</v>
      </c>
      <c r="C15" s="1">
        <v>17</v>
      </c>
      <c r="D15" s="1"/>
      <c r="E15" s="2">
        <v>12</v>
      </c>
      <c r="F15" s="1">
        <v>8400</v>
      </c>
      <c r="G15" s="1" t="s">
        <v>54</v>
      </c>
    </row>
    <row r="16" spans="1:7" ht="30" x14ac:dyDescent="0.25">
      <c r="A16" s="3" t="s">
        <v>55</v>
      </c>
      <c r="B16" s="1" t="s">
        <v>21</v>
      </c>
      <c r="C16" s="1" t="s">
        <v>56</v>
      </c>
      <c r="D16" s="1" t="s">
        <v>57</v>
      </c>
      <c r="E16" s="2">
        <v>12</v>
      </c>
      <c r="F16" s="1">
        <v>8400</v>
      </c>
      <c r="G16" s="1" t="s">
        <v>23</v>
      </c>
    </row>
    <row r="17" spans="1:7" ht="30" x14ac:dyDescent="0.25">
      <c r="A17" s="3" t="s">
        <v>58</v>
      </c>
      <c r="B17" s="1" t="s">
        <v>21</v>
      </c>
      <c r="C17" s="1">
        <v>15</v>
      </c>
      <c r="D17" s="1" t="s">
        <v>59</v>
      </c>
      <c r="E17" s="2">
        <v>8</v>
      </c>
      <c r="F17" s="1">
        <v>3900</v>
      </c>
      <c r="G17" s="1" t="s">
        <v>60</v>
      </c>
    </row>
    <row r="18" spans="1:7" x14ac:dyDescent="0.25">
      <c r="A18" s="3" t="s">
        <v>61</v>
      </c>
      <c r="B18" s="1" t="s">
        <v>62</v>
      </c>
      <c r="C18" s="1">
        <v>9</v>
      </c>
      <c r="D18" s="1">
        <v>10</v>
      </c>
      <c r="E18" s="2">
        <v>0</v>
      </c>
      <c r="F18" s="1">
        <v>10</v>
      </c>
      <c r="G18" s="1" t="s">
        <v>51</v>
      </c>
    </row>
    <row r="19" spans="1:7" x14ac:dyDescent="0.25">
      <c r="A19" s="3" t="s">
        <v>63</v>
      </c>
      <c r="B19" s="1" t="s">
        <v>64</v>
      </c>
      <c r="C19" s="1">
        <v>13</v>
      </c>
      <c r="D19" s="1">
        <v>59</v>
      </c>
      <c r="E19" s="2">
        <v>2</v>
      </c>
      <c r="F19" s="1">
        <v>450</v>
      </c>
      <c r="G19" s="1" t="s">
        <v>51</v>
      </c>
    </row>
    <row r="20" spans="1:7" x14ac:dyDescent="0.25">
      <c r="A20" s="3" t="s">
        <v>65</v>
      </c>
      <c r="B20" s="1" t="s">
        <v>35</v>
      </c>
      <c r="C20" s="1">
        <v>11</v>
      </c>
      <c r="D20" s="1">
        <v>19</v>
      </c>
      <c r="E20" s="4" t="s">
        <v>1143</v>
      </c>
      <c r="F20" s="1">
        <v>50</v>
      </c>
      <c r="G20" s="1" t="s">
        <v>51</v>
      </c>
    </row>
    <row r="21" spans="1:7" x14ac:dyDescent="0.25">
      <c r="A21" s="3" t="s">
        <v>66</v>
      </c>
      <c r="B21" s="1" t="s">
        <v>67</v>
      </c>
      <c r="C21" s="1">
        <v>17</v>
      </c>
      <c r="D21" s="1" t="s">
        <v>68</v>
      </c>
      <c r="E21" s="2">
        <v>2</v>
      </c>
      <c r="F21" s="1">
        <v>450</v>
      </c>
      <c r="G21" s="1" t="s">
        <v>69</v>
      </c>
    </row>
    <row r="22" spans="1:7" x14ac:dyDescent="0.25">
      <c r="A22" s="3" t="s">
        <v>70</v>
      </c>
      <c r="B22" s="1" t="s">
        <v>71</v>
      </c>
      <c r="C22" s="1">
        <v>12</v>
      </c>
      <c r="D22" s="1">
        <v>3</v>
      </c>
      <c r="E22" s="2">
        <v>0</v>
      </c>
      <c r="F22" s="1">
        <v>10</v>
      </c>
      <c r="G22" s="1" t="s">
        <v>72</v>
      </c>
    </row>
    <row r="23" spans="1:7" x14ac:dyDescent="0.25">
      <c r="A23" s="3" t="s">
        <v>73</v>
      </c>
      <c r="B23" s="1" t="s">
        <v>74</v>
      </c>
      <c r="C23" s="1">
        <v>10</v>
      </c>
      <c r="D23" s="1"/>
      <c r="E23" s="2">
        <v>0</v>
      </c>
      <c r="F23" s="1">
        <v>10</v>
      </c>
      <c r="G23" s="1" t="s">
        <v>72</v>
      </c>
    </row>
    <row r="24" spans="1:7" x14ac:dyDescent="0.25">
      <c r="A24" s="3" t="s">
        <v>75</v>
      </c>
      <c r="B24" s="1" t="s">
        <v>76</v>
      </c>
      <c r="C24" s="1">
        <v>15</v>
      </c>
      <c r="D24" s="1">
        <v>50</v>
      </c>
      <c r="E24" s="2"/>
      <c r="F24" s="1"/>
      <c r="G24" s="1" t="s">
        <v>78</v>
      </c>
    </row>
    <row r="25" spans="1:7" x14ac:dyDescent="0.25">
      <c r="A25" s="3" t="s">
        <v>79</v>
      </c>
      <c r="B25" s="1" t="s">
        <v>80</v>
      </c>
      <c r="C25" s="1">
        <v>19</v>
      </c>
      <c r="D25" s="1" t="s">
        <v>81</v>
      </c>
      <c r="E25" s="2">
        <v>19</v>
      </c>
      <c r="F25" s="1">
        <v>22000</v>
      </c>
      <c r="G25" s="1" t="s">
        <v>82</v>
      </c>
    </row>
    <row r="26" spans="1:7" x14ac:dyDescent="0.25">
      <c r="A26" s="3" t="s">
        <v>83</v>
      </c>
      <c r="B26" s="1" t="s">
        <v>38</v>
      </c>
      <c r="C26" s="1" t="s">
        <v>26</v>
      </c>
      <c r="D26" s="1">
        <v>84</v>
      </c>
      <c r="E26" s="2"/>
      <c r="F26" s="1">
        <v>1800</v>
      </c>
      <c r="G26" s="1" t="s">
        <v>84</v>
      </c>
    </row>
    <row r="27" spans="1:7" ht="30" x14ac:dyDescent="0.25">
      <c r="A27" s="3" t="s">
        <v>85</v>
      </c>
      <c r="B27" s="1" t="s">
        <v>21</v>
      </c>
      <c r="C27" s="1" t="s">
        <v>86</v>
      </c>
      <c r="D27" s="1" t="s">
        <v>87</v>
      </c>
      <c r="E27" s="4" t="s">
        <v>1142</v>
      </c>
      <c r="F27" s="1">
        <v>25</v>
      </c>
      <c r="G27" s="1" t="s">
        <v>60</v>
      </c>
    </row>
    <row r="28" spans="1:7" ht="30" x14ac:dyDescent="0.25">
      <c r="A28" s="3" t="s">
        <v>88</v>
      </c>
      <c r="B28" s="1" t="s">
        <v>21</v>
      </c>
      <c r="C28" s="1" t="s">
        <v>89</v>
      </c>
      <c r="D28" s="1" t="s">
        <v>90</v>
      </c>
      <c r="E28" s="2">
        <v>2</v>
      </c>
      <c r="F28" s="1">
        <v>450</v>
      </c>
      <c r="G28" s="1" t="s">
        <v>91</v>
      </c>
    </row>
    <row r="29" spans="1:7" x14ac:dyDescent="0.25">
      <c r="A29" s="3" t="s">
        <v>92</v>
      </c>
      <c r="B29" s="1" t="s">
        <v>93</v>
      </c>
      <c r="C29" s="1">
        <v>12</v>
      </c>
      <c r="D29" s="1" t="s">
        <v>94</v>
      </c>
      <c r="E29" s="2">
        <v>4</v>
      </c>
      <c r="F29" s="1">
        <v>1100</v>
      </c>
      <c r="G29" s="1" t="s">
        <v>95</v>
      </c>
    </row>
    <row r="30" spans="1:7" x14ac:dyDescent="0.25">
      <c r="A30" s="3" t="s">
        <v>96</v>
      </c>
      <c r="B30" s="1" t="s">
        <v>97</v>
      </c>
      <c r="C30" s="1">
        <v>15</v>
      </c>
      <c r="D30" s="1"/>
      <c r="E30" s="2">
        <v>5</v>
      </c>
      <c r="F30" s="1">
        <v>1800</v>
      </c>
      <c r="G30" s="1" t="s">
        <v>98</v>
      </c>
    </row>
    <row r="31" spans="1:7" x14ac:dyDescent="0.25">
      <c r="A31" s="3" t="s">
        <v>99</v>
      </c>
      <c r="B31" s="1" t="s">
        <v>100</v>
      </c>
      <c r="C31" s="1" t="s">
        <v>26</v>
      </c>
      <c r="D31" s="1">
        <v>90</v>
      </c>
      <c r="E31" s="2"/>
      <c r="F31" s="1">
        <v>1100</v>
      </c>
      <c r="G31" s="1" t="s">
        <v>84</v>
      </c>
    </row>
    <row r="32" spans="1:7" x14ac:dyDescent="0.25">
      <c r="A32" s="3" t="s">
        <v>101</v>
      </c>
      <c r="B32" s="1" t="s">
        <v>100</v>
      </c>
      <c r="C32" s="1">
        <v>15</v>
      </c>
      <c r="D32" s="1" t="s">
        <v>102</v>
      </c>
      <c r="E32" s="2">
        <v>5</v>
      </c>
      <c r="F32" s="1">
        <v>1800</v>
      </c>
      <c r="G32" s="1" t="s">
        <v>103</v>
      </c>
    </row>
    <row r="33" spans="1:7" x14ac:dyDescent="0.25">
      <c r="A33" s="3" t="s">
        <v>104</v>
      </c>
      <c r="B33" s="1" t="s">
        <v>105</v>
      </c>
      <c r="C33" s="1">
        <v>15</v>
      </c>
      <c r="D33" s="1" t="s">
        <v>106</v>
      </c>
      <c r="E33" s="2">
        <v>3</v>
      </c>
      <c r="F33" s="1">
        <v>700</v>
      </c>
      <c r="G33" s="1" t="s">
        <v>107</v>
      </c>
    </row>
    <row r="34" spans="1:7" x14ac:dyDescent="0.25">
      <c r="A34" s="3" t="s">
        <v>108</v>
      </c>
      <c r="B34" s="1" t="s">
        <v>74</v>
      </c>
      <c r="C34" s="1">
        <v>12</v>
      </c>
      <c r="D34" s="1"/>
      <c r="E34" s="2">
        <v>0</v>
      </c>
      <c r="F34" s="1">
        <v>10</v>
      </c>
      <c r="G34" s="1" t="s">
        <v>72</v>
      </c>
    </row>
    <row r="35" spans="1:7" x14ac:dyDescent="0.25">
      <c r="A35" s="3" t="s">
        <v>109</v>
      </c>
      <c r="B35" s="1" t="s">
        <v>97</v>
      </c>
      <c r="C35" s="1">
        <v>13</v>
      </c>
      <c r="D35" s="1"/>
      <c r="E35" s="2">
        <v>3</v>
      </c>
      <c r="F35" s="1">
        <v>700</v>
      </c>
      <c r="G35" s="1" t="s">
        <v>98</v>
      </c>
    </row>
    <row r="36" spans="1:7" x14ac:dyDescent="0.25">
      <c r="A36" s="3" t="s">
        <v>110</v>
      </c>
      <c r="B36" s="1" t="s">
        <v>18</v>
      </c>
      <c r="C36" s="1">
        <v>17</v>
      </c>
      <c r="D36" s="1" t="s">
        <v>111</v>
      </c>
      <c r="E36" s="2">
        <v>11</v>
      </c>
      <c r="F36" s="1">
        <v>7200</v>
      </c>
      <c r="G36" s="1" t="s">
        <v>112</v>
      </c>
    </row>
    <row r="37" spans="1:7" x14ac:dyDescent="0.25">
      <c r="A37" s="3" t="s">
        <v>113</v>
      </c>
      <c r="B37" s="1" t="s">
        <v>14</v>
      </c>
      <c r="C37" s="1">
        <v>18</v>
      </c>
      <c r="D37" s="1" t="s">
        <v>114</v>
      </c>
      <c r="E37" s="2">
        <v>13</v>
      </c>
      <c r="F37" s="1">
        <v>10000</v>
      </c>
      <c r="G37" s="1" t="s">
        <v>115</v>
      </c>
    </row>
    <row r="38" spans="1:7" x14ac:dyDescent="0.25">
      <c r="A38" s="3" t="s">
        <v>116</v>
      </c>
      <c r="B38" s="1" t="s">
        <v>117</v>
      </c>
      <c r="C38" s="1">
        <v>15</v>
      </c>
      <c r="D38" s="1" t="s">
        <v>118</v>
      </c>
      <c r="E38" s="2">
        <v>5</v>
      </c>
      <c r="F38" s="1">
        <v>1800</v>
      </c>
      <c r="G38" s="1" t="s">
        <v>119</v>
      </c>
    </row>
    <row r="39" spans="1:7" ht="30" x14ac:dyDescent="0.25">
      <c r="A39" s="3" t="s">
        <v>120</v>
      </c>
      <c r="B39" s="1" t="s">
        <v>21</v>
      </c>
      <c r="C39" s="1">
        <v>13</v>
      </c>
      <c r="D39" s="1" t="s">
        <v>121</v>
      </c>
      <c r="E39" s="2">
        <v>2</v>
      </c>
      <c r="F39" s="1">
        <v>450</v>
      </c>
      <c r="G39" s="1" t="s">
        <v>26</v>
      </c>
    </row>
    <row r="40" spans="1:7" x14ac:dyDescent="0.25">
      <c r="A40" s="3" t="s">
        <v>122</v>
      </c>
      <c r="B40" s="1" t="s">
        <v>50</v>
      </c>
      <c r="C40" s="1">
        <v>11</v>
      </c>
      <c r="D40" s="1"/>
      <c r="E40" s="4" t="s">
        <v>1144</v>
      </c>
      <c r="F40" s="1">
        <v>100</v>
      </c>
      <c r="G40" s="1" t="s">
        <v>72</v>
      </c>
    </row>
    <row r="41" spans="1:7" x14ac:dyDescent="0.25">
      <c r="A41" s="3" t="s">
        <v>123</v>
      </c>
      <c r="B41" s="1" t="s">
        <v>124</v>
      </c>
      <c r="C41" s="1">
        <v>17</v>
      </c>
      <c r="D41" s="1" t="s">
        <v>125</v>
      </c>
      <c r="E41" s="2"/>
      <c r="F41" s="1">
        <v>10</v>
      </c>
      <c r="G41" s="1" t="s">
        <v>26</v>
      </c>
    </row>
    <row r="42" spans="1:7" x14ac:dyDescent="0.25">
      <c r="A42" s="3" t="s">
        <v>126</v>
      </c>
      <c r="B42" s="1" t="s">
        <v>25</v>
      </c>
      <c r="C42" s="1">
        <v>19</v>
      </c>
      <c r="D42" s="1"/>
      <c r="E42" s="2">
        <v>14</v>
      </c>
      <c r="F42" s="1">
        <v>11500</v>
      </c>
      <c r="G42" s="1" t="s">
        <v>127</v>
      </c>
    </row>
    <row r="43" spans="1:7" x14ac:dyDescent="0.25">
      <c r="A43" s="3" t="s">
        <v>128</v>
      </c>
      <c r="B43" s="1" t="s">
        <v>129</v>
      </c>
      <c r="C43" s="1">
        <v>22</v>
      </c>
      <c r="D43" s="1"/>
      <c r="E43" s="2">
        <v>21</v>
      </c>
      <c r="F43" s="1">
        <v>33000</v>
      </c>
      <c r="G43" s="1" t="s">
        <v>130</v>
      </c>
    </row>
    <row r="44" spans="1:7" x14ac:dyDescent="0.25">
      <c r="A44" s="3" t="s">
        <v>131</v>
      </c>
      <c r="B44" s="1" t="s">
        <v>124</v>
      </c>
      <c r="C44" s="1">
        <v>17</v>
      </c>
      <c r="D44" s="1"/>
      <c r="E44" s="2">
        <v>2</v>
      </c>
      <c r="F44" s="1">
        <v>450</v>
      </c>
      <c r="G44" s="1" t="s">
        <v>127</v>
      </c>
    </row>
    <row r="45" spans="1:7" x14ac:dyDescent="0.25">
      <c r="A45" s="3" t="s">
        <v>132</v>
      </c>
      <c r="B45" s="1" t="s">
        <v>133</v>
      </c>
      <c r="C45" s="1">
        <v>18</v>
      </c>
      <c r="D45" s="1"/>
      <c r="E45" s="2">
        <v>7</v>
      </c>
      <c r="F45" s="1">
        <v>2900</v>
      </c>
      <c r="G45" s="1" t="s">
        <v>127</v>
      </c>
    </row>
    <row r="46" spans="1:7" x14ac:dyDescent="0.25">
      <c r="A46" s="3" t="s">
        <v>134</v>
      </c>
      <c r="B46" s="1" t="s">
        <v>135</v>
      </c>
      <c r="C46" s="1">
        <v>7</v>
      </c>
      <c r="D46" s="1" t="s">
        <v>136</v>
      </c>
      <c r="E46" s="2">
        <v>4</v>
      </c>
      <c r="F46" s="1">
        <v>1100</v>
      </c>
      <c r="G46" s="1" t="s">
        <v>137</v>
      </c>
    </row>
    <row r="47" spans="1:7" x14ac:dyDescent="0.25">
      <c r="A47" s="3" t="s">
        <v>138</v>
      </c>
      <c r="B47" s="1" t="s">
        <v>139</v>
      </c>
      <c r="C47" s="1">
        <v>13</v>
      </c>
      <c r="D47" s="1"/>
      <c r="E47" s="4" t="s">
        <v>1143</v>
      </c>
      <c r="F47" s="1">
        <v>50</v>
      </c>
      <c r="G47" s="1" t="s">
        <v>72</v>
      </c>
    </row>
    <row r="48" spans="1:7" x14ac:dyDescent="0.25">
      <c r="A48" s="3" t="s">
        <v>140</v>
      </c>
      <c r="B48" s="1" t="s">
        <v>71</v>
      </c>
      <c r="C48" s="1">
        <v>12</v>
      </c>
      <c r="D48" s="1"/>
      <c r="E48" s="4" t="s">
        <v>1142</v>
      </c>
      <c r="F48" s="1">
        <v>25</v>
      </c>
      <c r="G48" s="1" t="s">
        <v>141</v>
      </c>
    </row>
    <row r="49" spans="1:7" x14ac:dyDescent="0.25">
      <c r="A49" s="3" t="s">
        <v>142</v>
      </c>
      <c r="B49" s="1" t="s">
        <v>25</v>
      </c>
      <c r="C49" s="1">
        <v>19</v>
      </c>
      <c r="D49" s="1"/>
      <c r="E49" s="2">
        <v>16</v>
      </c>
      <c r="F49" s="1">
        <v>15000</v>
      </c>
      <c r="G49" s="1" t="s">
        <v>143</v>
      </c>
    </row>
    <row r="50" spans="1:7" x14ac:dyDescent="0.25">
      <c r="A50" s="3" t="s">
        <v>144</v>
      </c>
      <c r="B50" s="1" t="s">
        <v>129</v>
      </c>
      <c r="C50" s="1">
        <v>22</v>
      </c>
      <c r="D50" s="1"/>
      <c r="E50" s="2">
        <v>23</v>
      </c>
      <c r="F50" s="1">
        <v>50000</v>
      </c>
      <c r="G50" s="1" t="s">
        <v>145</v>
      </c>
    </row>
    <row r="51" spans="1:7" x14ac:dyDescent="0.25">
      <c r="A51" s="3" t="s">
        <v>146</v>
      </c>
      <c r="B51" s="1" t="s">
        <v>124</v>
      </c>
      <c r="C51" s="1">
        <v>17</v>
      </c>
      <c r="D51" s="1"/>
      <c r="E51" s="2">
        <v>3</v>
      </c>
      <c r="F51" s="1">
        <v>700</v>
      </c>
      <c r="G51" s="1" t="s">
        <v>143</v>
      </c>
    </row>
    <row r="52" spans="1:7" x14ac:dyDescent="0.25">
      <c r="A52" s="3" t="s">
        <v>147</v>
      </c>
      <c r="B52" s="1" t="s">
        <v>133</v>
      </c>
      <c r="C52" s="1">
        <v>18</v>
      </c>
      <c r="D52" s="1"/>
      <c r="E52" s="2">
        <v>9</v>
      </c>
      <c r="F52" s="1">
        <v>5000</v>
      </c>
      <c r="G52" s="1" t="s">
        <v>143</v>
      </c>
    </row>
    <row r="53" spans="1:7" x14ac:dyDescent="0.25">
      <c r="A53" s="3" t="s">
        <v>148</v>
      </c>
      <c r="B53" s="1" t="s">
        <v>14</v>
      </c>
      <c r="C53" s="1">
        <v>15</v>
      </c>
      <c r="D53" s="1">
        <v>123</v>
      </c>
      <c r="E53" s="2">
        <v>7</v>
      </c>
      <c r="F53" s="1">
        <v>2900</v>
      </c>
      <c r="G53" s="1" t="s">
        <v>149</v>
      </c>
    </row>
    <row r="54" spans="1:7" x14ac:dyDescent="0.25">
      <c r="A54" s="3" t="s">
        <v>150</v>
      </c>
      <c r="B54" s="1" t="s">
        <v>50</v>
      </c>
      <c r="C54" s="1">
        <v>11</v>
      </c>
      <c r="D54" s="1"/>
      <c r="E54" s="4" t="s">
        <v>1143</v>
      </c>
      <c r="F54" s="1">
        <v>50</v>
      </c>
      <c r="G54" s="1" t="s">
        <v>141</v>
      </c>
    </row>
    <row r="55" spans="1:7" x14ac:dyDescent="0.25">
      <c r="A55" s="3" t="s">
        <v>151</v>
      </c>
      <c r="B55" s="1" t="s">
        <v>93</v>
      </c>
      <c r="C55" s="1" t="s">
        <v>26</v>
      </c>
      <c r="D55" s="1">
        <v>58</v>
      </c>
      <c r="E55" s="2"/>
      <c r="F55" s="1">
        <v>2300</v>
      </c>
      <c r="G55" s="1" t="s">
        <v>84</v>
      </c>
    </row>
    <row r="56" spans="1:7" x14ac:dyDescent="0.25">
      <c r="A56" s="3" t="s">
        <v>152</v>
      </c>
      <c r="B56" s="1" t="s">
        <v>153</v>
      </c>
      <c r="C56" s="1">
        <v>19</v>
      </c>
      <c r="D56" s="1"/>
      <c r="E56" s="2">
        <v>9</v>
      </c>
      <c r="F56" s="1">
        <v>5000</v>
      </c>
      <c r="G56" s="1" t="s">
        <v>154</v>
      </c>
    </row>
    <row r="57" spans="1:7" x14ac:dyDescent="0.25">
      <c r="A57" s="3" t="s">
        <v>155</v>
      </c>
      <c r="B57" s="1" t="s">
        <v>117</v>
      </c>
      <c r="C57" s="1">
        <v>15</v>
      </c>
      <c r="D57" s="1" t="s">
        <v>156</v>
      </c>
      <c r="E57" s="2">
        <v>4</v>
      </c>
      <c r="F57" s="1">
        <v>1100</v>
      </c>
      <c r="G57" s="1" t="s">
        <v>157</v>
      </c>
    </row>
    <row r="58" spans="1:7" x14ac:dyDescent="0.25">
      <c r="A58" s="3" t="s">
        <v>158</v>
      </c>
      <c r="B58" s="1" t="s">
        <v>25</v>
      </c>
      <c r="C58" s="1">
        <v>18</v>
      </c>
      <c r="D58" s="1" t="s">
        <v>159</v>
      </c>
      <c r="E58" s="2">
        <v>13</v>
      </c>
      <c r="F58" s="1">
        <v>10000</v>
      </c>
      <c r="G58" s="1" t="s">
        <v>160</v>
      </c>
    </row>
    <row r="59" spans="1:7" x14ac:dyDescent="0.25">
      <c r="A59" s="3" t="s">
        <v>161</v>
      </c>
      <c r="B59" s="1" t="s">
        <v>129</v>
      </c>
      <c r="C59" s="1">
        <v>20</v>
      </c>
      <c r="D59" s="1" t="s">
        <v>162</v>
      </c>
      <c r="E59" s="2">
        <v>20</v>
      </c>
      <c r="F59" s="1">
        <v>25000</v>
      </c>
      <c r="G59" s="1" t="s">
        <v>163</v>
      </c>
    </row>
    <row r="60" spans="1:7" x14ac:dyDescent="0.25">
      <c r="A60" s="3" t="s">
        <v>164</v>
      </c>
      <c r="B60" s="1" t="s">
        <v>124</v>
      </c>
      <c r="C60" s="1">
        <v>16</v>
      </c>
      <c r="D60" s="1" t="s">
        <v>165</v>
      </c>
      <c r="E60" s="2">
        <v>1</v>
      </c>
      <c r="F60" s="1">
        <v>200</v>
      </c>
      <c r="G60" s="1" t="s">
        <v>166</v>
      </c>
    </row>
    <row r="61" spans="1:7" x14ac:dyDescent="0.25">
      <c r="A61" s="3" t="s">
        <v>167</v>
      </c>
      <c r="B61" s="1" t="s">
        <v>133</v>
      </c>
      <c r="C61" s="1">
        <v>17</v>
      </c>
      <c r="D61" s="1" t="s">
        <v>168</v>
      </c>
      <c r="E61" s="2">
        <v>6</v>
      </c>
      <c r="F61" s="1">
        <v>2300</v>
      </c>
      <c r="G61" s="1" t="s">
        <v>160</v>
      </c>
    </row>
    <row r="62" spans="1:7" x14ac:dyDescent="0.25">
      <c r="A62" s="3" t="s">
        <v>169</v>
      </c>
      <c r="B62" s="1" t="s">
        <v>25</v>
      </c>
      <c r="C62" s="1">
        <v>19</v>
      </c>
      <c r="D62" s="1" t="s">
        <v>170</v>
      </c>
      <c r="E62" s="2">
        <v>15</v>
      </c>
      <c r="F62" s="1">
        <v>13000</v>
      </c>
      <c r="G62" s="1" t="s">
        <v>171</v>
      </c>
    </row>
    <row r="63" spans="1:7" x14ac:dyDescent="0.25">
      <c r="A63" s="3" t="s">
        <v>172</v>
      </c>
      <c r="B63" s="1" t="s">
        <v>129</v>
      </c>
      <c r="C63" s="1">
        <v>22</v>
      </c>
      <c r="D63" s="1" t="s">
        <v>173</v>
      </c>
      <c r="E63" s="2">
        <v>22</v>
      </c>
      <c r="F63" s="1">
        <v>41000</v>
      </c>
      <c r="G63" s="1" t="s">
        <v>174</v>
      </c>
    </row>
    <row r="64" spans="1:7" x14ac:dyDescent="0.25">
      <c r="A64" s="3" t="s">
        <v>175</v>
      </c>
      <c r="B64" s="1" t="s">
        <v>124</v>
      </c>
      <c r="C64" s="1">
        <v>17</v>
      </c>
      <c r="D64" s="1" t="s">
        <v>176</v>
      </c>
      <c r="E64" s="2">
        <v>2</v>
      </c>
      <c r="F64" s="1">
        <v>450</v>
      </c>
      <c r="G64" s="1" t="s">
        <v>177</v>
      </c>
    </row>
    <row r="65" spans="1:7" x14ac:dyDescent="0.25">
      <c r="A65" s="3" t="s">
        <v>178</v>
      </c>
      <c r="B65" s="1" t="s">
        <v>133</v>
      </c>
      <c r="C65" s="1">
        <v>18</v>
      </c>
      <c r="D65" s="1" t="s">
        <v>179</v>
      </c>
      <c r="E65" s="2">
        <v>8</v>
      </c>
      <c r="F65" s="1">
        <v>3900</v>
      </c>
      <c r="G65" s="1" t="s">
        <v>171</v>
      </c>
    </row>
    <row r="66" spans="1:7" x14ac:dyDescent="0.25">
      <c r="A66" s="3" t="s">
        <v>180</v>
      </c>
      <c r="B66" s="1" t="s">
        <v>35</v>
      </c>
      <c r="C66" s="1">
        <v>11</v>
      </c>
      <c r="D66" s="1"/>
      <c r="E66" s="2">
        <v>1</v>
      </c>
      <c r="F66" s="1">
        <v>200</v>
      </c>
      <c r="G66" s="1" t="s">
        <v>141</v>
      </c>
    </row>
    <row r="67" spans="1:7" x14ac:dyDescent="0.25">
      <c r="A67" s="3" t="s">
        <v>181</v>
      </c>
      <c r="B67" s="1" t="s">
        <v>10</v>
      </c>
      <c r="C67" s="1">
        <v>16</v>
      </c>
      <c r="D67" s="1" t="s">
        <v>182</v>
      </c>
      <c r="E67" s="2">
        <v>1</v>
      </c>
      <c r="F67" s="1">
        <v>200</v>
      </c>
      <c r="G67" s="1" t="s">
        <v>183</v>
      </c>
    </row>
    <row r="68" spans="1:7" x14ac:dyDescent="0.25">
      <c r="A68" s="3" t="s">
        <v>184</v>
      </c>
      <c r="B68" s="1" t="s">
        <v>10</v>
      </c>
      <c r="C68" s="1">
        <v>17</v>
      </c>
      <c r="D68" s="1" t="s">
        <v>185</v>
      </c>
      <c r="E68" s="2">
        <v>3</v>
      </c>
      <c r="F68" s="1">
        <v>700</v>
      </c>
      <c r="G68" s="1" t="s">
        <v>183</v>
      </c>
    </row>
    <row r="69" spans="1:7" x14ac:dyDescent="0.25">
      <c r="A69" s="3" t="s">
        <v>186</v>
      </c>
      <c r="B69" s="1" t="s">
        <v>38</v>
      </c>
      <c r="C69" s="1">
        <v>17</v>
      </c>
      <c r="D69" s="1" t="s">
        <v>187</v>
      </c>
      <c r="E69" s="2">
        <v>5</v>
      </c>
      <c r="F69" s="1">
        <v>1800</v>
      </c>
      <c r="G69" s="1" t="s">
        <v>188</v>
      </c>
    </row>
    <row r="70" spans="1:7" x14ac:dyDescent="0.25">
      <c r="A70" s="3" t="s">
        <v>189</v>
      </c>
      <c r="B70" s="1" t="s">
        <v>10</v>
      </c>
      <c r="C70" s="1">
        <v>15</v>
      </c>
      <c r="D70" s="1" t="s">
        <v>190</v>
      </c>
      <c r="E70" s="4" t="s">
        <v>1143</v>
      </c>
      <c r="F70" s="1">
        <v>50</v>
      </c>
      <c r="G70" s="1" t="s">
        <v>191</v>
      </c>
    </row>
    <row r="71" spans="1:7" x14ac:dyDescent="0.25">
      <c r="A71" s="3" t="s">
        <v>192</v>
      </c>
      <c r="B71" s="1" t="s">
        <v>53</v>
      </c>
      <c r="C71" s="1">
        <v>19</v>
      </c>
      <c r="D71" s="1" t="s">
        <v>193</v>
      </c>
      <c r="E71" s="2">
        <v>5</v>
      </c>
      <c r="F71" s="1">
        <v>1800</v>
      </c>
      <c r="G71" s="1" t="s">
        <v>194</v>
      </c>
    </row>
    <row r="72" spans="1:7" x14ac:dyDescent="0.25">
      <c r="A72" s="3" t="s">
        <v>195</v>
      </c>
      <c r="B72" s="1" t="s">
        <v>35</v>
      </c>
      <c r="C72" s="1">
        <v>9</v>
      </c>
      <c r="D72" s="1"/>
      <c r="E72" s="4" t="s">
        <v>1142</v>
      </c>
      <c r="F72" s="1">
        <v>25</v>
      </c>
      <c r="G72" s="1" t="s">
        <v>196</v>
      </c>
    </row>
    <row r="73" spans="1:7" x14ac:dyDescent="0.25">
      <c r="A73" s="3" t="s">
        <v>197</v>
      </c>
      <c r="B73" s="1" t="s">
        <v>76</v>
      </c>
      <c r="C73" s="1">
        <v>19</v>
      </c>
      <c r="D73" s="1">
        <v>75</v>
      </c>
      <c r="E73" s="2"/>
      <c r="F73" s="1"/>
      <c r="G73" s="1" t="s">
        <v>78</v>
      </c>
    </row>
    <row r="74" spans="1:7" x14ac:dyDescent="0.25">
      <c r="A74" s="3" t="s">
        <v>198</v>
      </c>
      <c r="B74" s="1" t="s">
        <v>38</v>
      </c>
      <c r="C74" s="1">
        <v>13</v>
      </c>
      <c r="D74" s="1" t="s">
        <v>199</v>
      </c>
      <c r="E74" s="2">
        <v>2</v>
      </c>
      <c r="F74" s="1">
        <v>450</v>
      </c>
      <c r="G74" s="1" t="s">
        <v>200</v>
      </c>
    </row>
    <row r="75" spans="1:7" x14ac:dyDescent="0.25">
      <c r="A75" s="3" t="s">
        <v>201</v>
      </c>
      <c r="B75" s="1" t="s">
        <v>74</v>
      </c>
      <c r="C75" s="1">
        <v>12</v>
      </c>
      <c r="D75" s="1"/>
      <c r="E75" s="2">
        <v>0</v>
      </c>
      <c r="F75" s="1">
        <v>10</v>
      </c>
      <c r="G75" s="1" t="s">
        <v>196</v>
      </c>
    </row>
    <row r="76" spans="1:7" x14ac:dyDescent="0.25">
      <c r="A76" s="3" t="s">
        <v>202</v>
      </c>
      <c r="B76" s="1" t="s">
        <v>38</v>
      </c>
      <c r="C76" s="1" t="s">
        <v>26</v>
      </c>
      <c r="D76" s="1">
        <v>84</v>
      </c>
      <c r="E76" s="2">
        <v>5</v>
      </c>
      <c r="F76" s="1">
        <v>1800</v>
      </c>
      <c r="G76" s="1" t="s">
        <v>84</v>
      </c>
    </row>
    <row r="77" spans="1:7" x14ac:dyDescent="0.25">
      <c r="A77" s="3" t="s">
        <v>203</v>
      </c>
      <c r="B77" s="1" t="s">
        <v>76</v>
      </c>
      <c r="C77" s="1">
        <v>19</v>
      </c>
      <c r="D77" s="1">
        <v>20</v>
      </c>
      <c r="E77" s="2"/>
      <c r="F77" s="1"/>
      <c r="G77" s="1" t="s">
        <v>78</v>
      </c>
    </row>
    <row r="78" spans="1:7" x14ac:dyDescent="0.25">
      <c r="A78" s="3" t="s">
        <v>204</v>
      </c>
      <c r="B78" s="1" t="s">
        <v>105</v>
      </c>
      <c r="C78" s="1" t="s">
        <v>26</v>
      </c>
      <c r="D78" s="1">
        <v>58</v>
      </c>
      <c r="E78" s="2">
        <v>3</v>
      </c>
      <c r="F78" s="1">
        <v>700</v>
      </c>
      <c r="G78" s="1" t="s">
        <v>84</v>
      </c>
    </row>
    <row r="79" spans="1:7" x14ac:dyDescent="0.25">
      <c r="A79" s="3" t="s">
        <v>205</v>
      </c>
      <c r="B79" s="1" t="s">
        <v>38</v>
      </c>
      <c r="C79" s="1">
        <v>12</v>
      </c>
      <c r="D79" s="1" t="s">
        <v>206</v>
      </c>
      <c r="E79" s="2">
        <v>2</v>
      </c>
      <c r="F79" s="1">
        <v>450</v>
      </c>
      <c r="G79" s="1" t="s">
        <v>207</v>
      </c>
    </row>
    <row r="80" spans="1:7" x14ac:dyDescent="0.25">
      <c r="A80" s="3" t="s">
        <v>208</v>
      </c>
      <c r="B80" s="1" t="s">
        <v>97</v>
      </c>
      <c r="C80" s="1">
        <v>16</v>
      </c>
      <c r="D80" s="1"/>
      <c r="E80" s="2">
        <v>8</v>
      </c>
      <c r="F80" s="1">
        <v>3900</v>
      </c>
      <c r="G80" s="1" t="s">
        <v>209</v>
      </c>
    </row>
    <row r="81" spans="1:7" x14ac:dyDescent="0.25">
      <c r="A81" s="3" t="s">
        <v>210</v>
      </c>
      <c r="B81" s="1" t="s">
        <v>100</v>
      </c>
      <c r="C81" s="1">
        <v>15</v>
      </c>
      <c r="D81" s="1" t="s">
        <v>211</v>
      </c>
      <c r="E81" s="2">
        <v>6</v>
      </c>
      <c r="F81" s="1">
        <v>2300</v>
      </c>
      <c r="G81" s="1" t="s">
        <v>212</v>
      </c>
    </row>
    <row r="82" spans="1:7" x14ac:dyDescent="0.25">
      <c r="A82" s="3" t="s">
        <v>213</v>
      </c>
      <c r="B82" s="1" t="s">
        <v>38</v>
      </c>
      <c r="C82" s="1">
        <v>14</v>
      </c>
      <c r="D82" s="1" t="s">
        <v>214</v>
      </c>
      <c r="E82" s="2">
        <v>6</v>
      </c>
      <c r="F82" s="1">
        <v>2300</v>
      </c>
      <c r="G82" s="1" t="s">
        <v>215</v>
      </c>
    </row>
    <row r="83" spans="1:7" x14ac:dyDescent="0.25">
      <c r="A83" s="3" t="s">
        <v>216</v>
      </c>
      <c r="B83" s="1" t="s">
        <v>217</v>
      </c>
      <c r="C83" s="1" t="s">
        <v>26</v>
      </c>
      <c r="D83" s="1">
        <v>18</v>
      </c>
      <c r="E83" s="2"/>
      <c r="F83" s="1">
        <v>100</v>
      </c>
      <c r="G83" s="1" t="s">
        <v>84</v>
      </c>
    </row>
    <row r="84" spans="1:7" x14ac:dyDescent="0.25">
      <c r="A84" s="3" t="s">
        <v>218</v>
      </c>
      <c r="B84" s="1" t="s">
        <v>14</v>
      </c>
      <c r="C84" s="1">
        <v>16</v>
      </c>
      <c r="D84" s="1" t="s">
        <v>118</v>
      </c>
      <c r="E84" s="2">
        <v>4</v>
      </c>
      <c r="F84" s="1">
        <v>1100</v>
      </c>
      <c r="G84" s="1" t="s">
        <v>219</v>
      </c>
    </row>
    <row r="85" spans="1:7" x14ac:dyDescent="0.25">
      <c r="A85" s="3" t="s">
        <v>220</v>
      </c>
      <c r="B85" s="1" t="s">
        <v>221</v>
      </c>
      <c r="C85" s="1">
        <v>14</v>
      </c>
      <c r="D85" s="1" t="s">
        <v>222</v>
      </c>
      <c r="E85" s="2">
        <v>9</v>
      </c>
      <c r="F85" s="1">
        <v>5000</v>
      </c>
      <c r="G85" s="1" t="s">
        <v>223</v>
      </c>
    </row>
    <row r="86" spans="1:7" x14ac:dyDescent="0.25">
      <c r="A86" s="3" t="s">
        <v>224</v>
      </c>
      <c r="B86" s="1" t="s">
        <v>14</v>
      </c>
      <c r="C86" s="1">
        <v>14</v>
      </c>
      <c r="D86" s="1" t="s">
        <v>225</v>
      </c>
      <c r="E86" s="2">
        <v>8</v>
      </c>
      <c r="F86" s="1">
        <v>3900</v>
      </c>
      <c r="G86" s="1" t="s">
        <v>226</v>
      </c>
    </row>
    <row r="87" spans="1:7" x14ac:dyDescent="0.25">
      <c r="A87" s="3" t="s">
        <v>227</v>
      </c>
      <c r="B87" s="1" t="s">
        <v>228</v>
      </c>
      <c r="C87" s="1">
        <v>14</v>
      </c>
      <c r="D87" s="1" t="s">
        <v>229</v>
      </c>
      <c r="E87" s="2">
        <v>9</v>
      </c>
      <c r="F87" s="1">
        <v>5000</v>
      </c>
      <c r="G87" s="1" t="s">
        <v>230</v>
      </c>
    </row>
    <row r="88" spans="1:7" x14ac:dyDescent="0.25">
      <c r="A88" s="3" t="s">
        <v>231</v>
      </c>
      <c r="B88" s="1" t="s">
        <v>217</v>
      </c>
      <c r="C88" s="1">
        <v>11</v>
      </c>
      <c r="D88" s="1" t="s">
        <v>232</v>
      </c>
      <c r="E88" s="4" t="s">
        <v>1144</v>
      </c>
      <c r="F88" s="1">
        <v>100</v>
      </c>
      <c r="G88" s="1" t="s">
        <v>233</v>
      </c>
    </row>
    <row r="89" spans="1:7" x14ac:dyDescent="0.25">
      <c r="A89" s="3" t="s">
        <v>234</v>
      </c>
      <c r="B89" s="1" t="s">
        <v>10</v>
      </c>
      <c r="C89" s="1">
        <v>10</v>
      </c>
      <c r="D89" s="1" t="s">
        <v>235</v>
      </c>
      <c r="E89" s="2">
        <v>0</v>
      </c>
      <c r="F89" s="1">
        <v>10</v>
      </c>
      <c r="G89" s="1" t="s">
        <v>236</v>
      </c>
    </row>
    <row r="90" spans="1:7" x14ac:dyDescent="0.25">
      <c r="A90" s="3" t="s">
        <v>237</v>
      </c>
      <c r="B90" s="1" t="s">
        <v>238</v>
      </c>
      <c r="C90" s="1">
        <v>12</v>
      </c>
      <c r="D90" s="1"/>
      <c r="E90" s="4" t="s">
        <v>1143</v>
      </c>
      <c r="F90" s="1">
        <v>50</v>
      </c>
      <c r="G90" s="1" t="s">
        <v>196</v>
      </c>
    </row>
    <row r="91" spans="1:7" x14ac:dyDescent="0.25">
      <c r="A91" s="3" t="s">
        <v>239</v>
      </c>
      <c r="B91" s="1" t="s">
        <v>25</v>
      </c>
      <c r="C91" s="1">
        <v>18</v>
      </c>
      <c r="D91" s="1" t="s">
        <v>240</v>
      </c>
      <c r="E91" s="2">
        <v>14</v>
      </c>
      <c r="F91" s="1">
        <v>11500</v>
      </c>
      <c r="G91" s="1" t="s">
        <v>241</v>
      </c>
    </row>
    <row r="92" spans="1:7" x14ac:dyDescent="0.25">
      <c r="A92" s="3" t="s">
        <v>242</v>
      </c>
      <c r="B92" s="1" t="s">
        <v>129</v>
      </c>
      <c r="C92" s="1">
        <v>21</v>
      </c>
      <c r="D92" s="1" t="s">
        <v>243</v>
      </c>
      <c r="E92" s="2">
        <v>21</v>
      </c>
      <c r="F92" s="1">
        <v>33000</v>
      </c>
      <c r="G92" s="1" t="s">
        <v>244</v>
      </c>
    </row>
    <row r="93" spans="1:7" x14ac:dyDescent="0.25">
      <c r="A93" s="3" t="s">
        <v>245</v>
      </c>
      <c r="B93" s="1" t="s">
        <v>124</v>
      </c>
      <c r="C93" s="1">
        <v>16</v>
      </c>
      <c r="D93" s="1" t="s">
        <v>246</v>
      </c>
      <c r="E93" s="2">
        <v>1</v>
      </c>
      <c r="F93" s="1">
        <v>200</v>
      </c>
      <c r="G93" s="1" t="s">
        <v>247</v>
      </c>
    </row>
    <row r="94" spans="1:7" x14ac:dyDescent="0.25">
      <c r="A94" s="3" t="s">
        <v>248</v>
      </c>
      <c r="B94" s="1" t="s">
        <v>133</v>
      </c>
      <c r="C94" s="1">
        <v>17</v>
      </c>
      <c r="D94" s="1" t="s">
        <v>249</v>
      </c>
      <c r="E94" s="2">
        <v>7</v>
      </c>
      <c r="F94" s="1">
        <v>2900</v>
      </c>
      <c r="G94" s="1" t="s">
        <v>241</v>
      </c>
    </row>
    <row r="95" spans="1:7" x14ac:dyDescent="0.25">
      <c r="A95" s="3" t="s">
        <v>250</v>
      </c>
      <c r="B95" s="1" t="s">
        <v>251</v>
      </c>
      <c r="C95" s="1">
        <v>19</v>
      </c>
      <c r="D95" s="1" t="s">
        <v>252</v>
      </c>
      <c r="E95" s="2">
        <v>4</v>
      </c>
      <c r="F95" s="1">
        <v>1100</v>
      </c>
      <c r="G95" s="1" t="s">
        <v>253</v>
      </c>
    </row>
    <row r="96" spans="1:7" x14ac:dyDescent="0.25">
      <c r="A96" s="3" t="s">
        <v>254</v>
      </c>
      <c r="B96" s="1" t="s">
        <v>74</v>
      </c>
      <c r="C96" s="1">
        <v>11</v>
      </c>
      <c r="D96" s="1"/>
      <c r="E96" s="2">
        <v>0</v>
      </c>
      <c r="F96" s="1">
        <v>10</v>
      </c>
      <c r="G96" s="1" t="s">
        <v>196</v>
      </c>
    </row>
    <row r="97" spans="1:7" x14ac:dyDescent="0.25">
      <c r="A97" s="3" t="s">
        <v>255</v>
      </c>
      <c r="B97" s="1" t="s">
        <v>256</v>
      </c>
      <c r="C97" s="1">
        <v>12</v>
      </c>
      <c r="D97" s="1" t="s">
        <v>257</v>
      </c>
      <c r="E97" s="2">
        <v>0</v>
      </c>
      <c r="F97" s="1">
        <v>10</v>
      </c>
      <c r="G97" s="1" t="s">
        <v>258</v>
      </c>
    </row>
    <row r="98" spans="1:7" x14ac:dyDescent="0.25">
      <c r="A98" s="3" t="s">
        <v>259</v>
      </c>
      <c r="B98" s="1" t="s">
        <v>35</v>
      </c>
      <c r="C98" s="1">
        <v>12</v>
      </c>
      <c r="D98" s="1"/>
      <c r="E98" s="4" t="s">
        <v>1144</v>
      </c>
      <c r="F98" s="1">
        <v>100</v>
      </c>
      <c r="G98" s="1" t="s">
        <v>196</v>
      </c>
    </row>
    <row r="99" spans="1:7" x14ac:dyDescent="0.25">
      <c r="A99" s="3" t="s">
        <v>260</v>
      </c>
      <c r="B99" s="1" t="s">
        <v>10</v>
      </c>
      <c r="C99" s="1">
        <v>13</v>
      </c>
      <c r="D99" s="1" t="s">
        <v>125</v>
      </c>
      <c r="E99" s="2">
        <v>2</v>
      </c>
      <c r="F99" s="1">
        <v>450</v>
      </c>
      <c r="G99" s="1" t="s">
        <v>236</v>
      </c>
    </row>
    <row r="100" spans="1:7" x14ac:dyDescent="0.25">
      <c r="A100" s="3" t="s">
        <v>261</v>
      </c>
      <c r="B100" s="1" t="s">
        <v>10</v>
      </c>
      <c r="C100" s="1">
        <v>12</v>
      </c>
      <c r="D100" s="1" t="s">
        <v>22</v>
      </c>
      <c r="E100" s="4" t="s">
        <v>1142</v>
      </c>
      <c r="F100" s="1">
        <v>25</v>
      </c>
      <c r="G100" s="1" t="s">
        <v>236</v>
      </c>
    </row>
    <row r="101" spans="1:7" x14ac:dyDescent="0.25">
      <c r="A101" s="3" t="s">
        <v>262</v>
      </c>
      <c r="B101" s="1" t="s">
        <v>228</v>
      </c>
      <c r="C101" s="1">
        <v>14</v>
      </c>
      <c r="D101" s="1" t="s">
        <v>263</v>
      </c>
      <c r="E101" s="2">
        <v>6</v>
      </c>
      <c r="F101" s="1">
        <v>2300</v>
      </c>
      <c r="G101" s="1" t="s">
        <v>264</v>
      </c>
    </row>
    <row r="102" spans="1:7" x14ac:dyDescent="0.25">
      <c r="A102" s="3" t="s">
        <v>265</v>
      </c>
      <c r="B102" s="1" t="s">
        <v>31</v>
      </c>
      <c r="C102" s="1">
        <v>18</v>
      </c>
      <c r="D102" s="1" t="s">
        <v>266</v>
      </c>
      <c r="E102" s="2">
        <v>11</v>
      </c>
      <c r="F102" s="1">
        <v>7200</v>
      </c>
      <c r="G102" s="1" t="s">
        <v>267</v>
      </c>
    </row>
    <row r="103" spans="1:7" x14ac:dyDescent="0.25">
      <c r="A103" s="3" t="s">
        <v>268</v>
      </c>
      <c r="B103" s="1" t="s">
        <v>217</v>
      </c>
      <c r="C103" s="1">
        <v>11</v>
      </c>
      <c r="D103" s="1" t="s">
        <v>269</v>
      </c>
      <c r="E103" s="2"/>
      <c r="F103" s="1">
        <v>10</v>
      </c>
      <c r="G103" s="1" t="s">
        <v>26</v>
      </c>
    </row>
    <row r="104" spans="1:7" x14ac:dyDescent="0.25">
      <c r="A104" s="3" t="s">
        <v>270</v>
      </c>
      <c r="B104" s="1" t="s">
        <v>271</v>
      </c>
      <c r="C104" s="1">
        <v>14</v>
      </c>
      <c r="D104" s="1" t="s">
        <v>272</v>
      </c>
      <c r="E104" s="4" t="s">
        <v>1144</v>
      </c>
      <c r="F104" s="1">
        <v>100</v>
      </c>
      <c r="G104" s="1" t="s">
        <v>273</v>
      </c>
    </row>
    <row r="105" spans="1:7" x14ac:dyDescent="0.25">
      <c r="A105" s="3" t="s">
        <v>274</v>
      </c>
      <c r="B105" s="1" t="s">
        <v>139</v>
      </c>
      <c r="C105" s="1">
        <v>15</v>
      </c>
      <c r="D105" s="1" t="s">
        <v>275</v>
      </c>
      <c r="E105" s="2">
        <v>2</v>
      </c>
      <c r="F105" s="1">
        <v>450</v>
      </c>
      <c r="G105" s="1" t="s">
        <v>273</v>
      </c>
    </row>
    <row r="106" spans="1:7" x14ac:dyDescent="0.25">
      <c r="A106" s="3" t="s">
        <v>276</v>
      </c>
      <c r="B106" s="1" t="s">
        <v>217</v>
      </c>
      <c r="C106" s="1">
        <v>11</v>
      </c>
      <c r="D106" s="1"/>
      <c r="E106" s="4" t="s">
        <v>1144</v>
      </c>
      <c r="F106" s="1">
        <v>100</v>
      </c>
      <c r="G106" s="1" t="s">
        <v>277</v>
      </c>
    </row>
    <row r="107" spans="1:7" x14ac:dyDescent="0.25">
      <c r="A107" s="3" t="s">
        <v>278</v>
      </c>
      <c r="B107" s="1" t="s">
        <v>105</v>
      </c>
      <c r="C107" s="1">
        <v>12</v>
      </c>
      <c r="D107" s="1" t="s">
        <v>279</v>
      </c>
      <c r="E107" s="2">
        <v>1</v>
      </c>
      <c r="F107" s="1">
        <v>200</v>
      </c>
      <c r="G107" s="1" t="s">
        <v>280</v>
      </c>
    </row>
    <row r="108" spans="1:7" x14ac:dyDescent="0.25">
      <c r="A108" s="3" t="s">
        <v>281</v>
      </c>
      <c r="B108" s="1" t="s">
        <v>14</v>
      </c>
      <c r="C108" s="1" t="s">
        <v>26</v>
      </c>
      <c r="D108" s="1">
        <v>161</v>
      </c>
      <c r="E108" s="2"/>
      <c r="F108" s="1">
        <v>5900</v>
      </c>
      <c r="G108" s="1" t="s">
        <v>84</v>
      </c>
    </row>
    <row r="109" spans="1:7" x14ac:dyDescent="0.25">
      <c r="A109" s="3" t="s">
        <v>282</v>
      </c>
      <c r="B109" s="1" t="s">
        <v>93</v>
      </c>
      <c r="C109" s="1">
        <v>20</v>
      </c>
      <c r="D109" s="1" t="s">
        <v>283</v>
      </c>
      <c r="E109" s="2">
        <v>17</v>
      </c>
      <c r="F109" s="1">
        <v>18000</v>
      </c>
      <c r="G109" s="1" t="s">
        <v>284</v>
      </c>
    </row>
    <row r="110" spans="1:7" ht="30" x14ac:dyDescent="0.25">
      <c r="A110" s="3" t="s">
        <v>285</v>
      </c>
      <c r="B110" s="1" t="s">
        <v>286</v>
      </c>
      <c r="C110" s="1">
        <v>18</v>
      </c>
      <c r="D110" s="1">
        <v>170</v>
      </c>
      <c r="E110" s="2">
        <v>10</v>
      </c>
      <c r="F110" s="1">
        <v>5900</v>
      </c>
      <c r="G110" s="1" t="s">
        <v>287</v>
      </c>
    </row>
    <row r="111" spans="1:7" x14ac:dyDescent="0.25">
      <c r="A111" s="3" t="s">
        <v>288</v>
      </c>
      <c r="B111" s="1" t="s">
        <v>117</v>
      </c>
      <c r="C111" s="1">
        <v>19</v>
      </c>
      <c r="D111" s="1" t="s">
        <v>289</v>
      </c>
      <c r="E111" s="2">
        <v>14</v>
      </c>
      <c r="F111" s="1">
        <v>11500</v>
      </c>
      <c r="G111" s="1" t="s">
        <v>290</v>
      </c>
    </row>
    <row r="112" spans="1:7" x14ac:dyDescent="0.25">
      <c r="A112" s="3" t="s">
        <v>291</v>
      </c>
      <c r="B112" s="1" t="s">
        <v>38</v>
      </c>
      <c r="C112" s="1">
        <v>14</v>
      </c>
      <c r="D112" s="1" t="s">
        <v>292</v>
      </c>
      <c r="E112" s="2">
        <v>4</v>
      </c>
      <c r="F112" s="1">
        <v>1100</v>
      </c>
      <c r="G112" s="1" t="s">
        <v>293</v>
      </c>
    </row>
    <row r="113" spans="1:7" x14ac:dyDescent="0.25">
      <c r="A113" s="3" t="s">
        <v>294</v>
      </c>
      <c r="B113" s="1" t="s">
        <v>50</v>
      </c>
      <c r="C113" s="1">
        <v>13</v>
      </c>
      <c r="D113" s="1"/>
      <c r="E113" s="2">
        <v>0</v>
      </c>
      <c r="F113" s="1">
        <v>10</v>
      </c>
      <c r="G113" s="1" t="s">
        <v>280</v>
      </c>
    </row>
    <row r="114" spans="1:7" x14ac:dyDescent="0.25">
      <c r="A114" s="3" t="s">
        <v>295</v>
      </c>
      <c r="B114" s="1" t="s">
        <v>256</v>
      </c>
      <c r="C114" s="1">
        <v>20</v>
      </c>
      <c r="D114" s="1" t="s">
        <v>296</v>
      </c>
      <c r="E114" s="2">
        <v>18</v>
      </c>
      <c r="F114" s="1">
        <v>20000</v>
      </c>
      <c r="G114" s="1" t="s">
        <v>297</v>
      </c>
    </row>
    <row r="115" spans="1:7" x14ac:dyDescent="0.25">
      <c r="A115" s="3" t="s">
        <v>298</v>
      </c>
      <c r="B115" s="1" t="s">
        <v>251</v>
      </c>
      <c r="C115" s="1">
        <v>17</v>
      </c>
      <c r="D115" s="1" t="s">
        <v>299</v>
      </c>
      <c r="E115" s="2">
        <v>10</v>
      </c>
      <c r="F115" s="1">
        <v>5900</v>
      </c>
      <c r="G115" s="1" t="s">
        <v>300</v>
      </c>
    </row>
    <row r="116" spans="1:7" x14ac:dyDescent="0.25">
      <c r="A116" s="3" t="s">
        <v>301</v>
      </c>
      <c r="B116" s="1" t="s">
        <v>35</v>
      </c>
      <c r="C116" s="1">
        <v>14</v>
      </c>
      <c r="D116" s="1"/>
      <c r="E116" s="2">
        <v>1</v>
      </c>
      <c r="F116" s="1">
        <v>200</v>
      </c>
      <c r="G116" s="1" t="s">
        <v>280</v>
      </c>
    </row>
    <row r="117" spans="1:7" x14ac:dyDescent="0.25">
      <c r="A117" s="3" t="s">
        <v>302</v>
      </c>
      <c r="B117" s="1" t="s">
        <v>38</v>
      </c>
      <c r="C117" s="1">
        <v>13</v>
      </c>
      <c r="D117" s="1"/>
      <c r="E117" s="2">
        <v>3</v>
      </c>
      <c r="F117" s="1">
        <v>700</v>
      </c>
      <c r="G117" s="1" t="s">
        <v>303</v>
      </c>
    </row>
    <row r="118" spans="1:7" x14ac:dyDescent="0.25">
      <c r="A118" s="3" t="s">
        <v>304</v>
      </c>
      <c r="B118" s="1" t="s">
        <v>31</v>
      </c>
      <c r="C118" s="1">
        <v>17</v>
      </c>
      <c r="D118" s="1" t="s">
        <v>305</v>
      </c>
      <c r="E118" s="2">
        <v>11</v>
      </c>
      <c r="F118" s="1">
        <v>7200</v>
      </c>
      <c r="G118" s="1" t="s">
        <v>306</v>
      </c>
    </row>
    <row r="119" spans="1:7" x14ac:dyDescent="0.25">
      <c r="A119" s="3" t="s">
        <v>307</v>
      </c>
      <c r="B119" s="1" t="s">
        <v>105</v>
      </c>
      <c r="C119" s="1">
        <v>14</v>
      </c>
      <c r="D119" s="1"/>
      <c r="E119" s="2">
        <v>3</v>
      </c>
      <c r="F119" s="1">
        <v>700</v>
      </c>
      <c r="G119" s="1" t="s">
        <v>308</v>
      </c>
    </row>
    <row r="120" spans="1:7" x14ac:dyDescent="0.25">
      <c r="A120" s="3" t="s">
        <v>309</v>
      </c>
      <c r="B120" s="1" t="s">
        <v>310</v>
      </c>
      <c r="C120" s="1">
        <v>19</v>
      </c>
      <c r="D120" s="1"/>
      <c r="E120" s="2">
        <v>17</v>
      </c>
      <c r="F120" s="1">
        <v>18000</v>
      </c>
      <c r="G120" s="1" t="s">
        <v>311</v>
      </c>
    </row>
    <row r="121" spans="1:7" x14ac:dyDescent="0.25">
      <c r="A121" s="3" t="s">
        <v>312</v>
      </c>
      <c r="B121" s="1" t="s">
        <v>35</v>
      </c>
      <c r="C121" s="1">
        <v>10</v>
      </c>
      <c r="D121" s="1"/>
      <c r="E121" s="4" t="s">
        <v>1143</v>
      </c>
      <c r="F121" s="1">
        <v>50</v>
      </c>
      <c r="G121" s="1" t="s">
        <v>280</v>
      </c>
    </row>
    <row r="122" spans="1:7" x14ac:dyDescent="0.25">
      <c r="A122" s="3" t="s">
        <v>313</v>
      </c>
      <c r="B122" s="1" t="s">
        <v>129</v>
      </c>
      <c r="C122" s="1">
        <v>20</v>
      </c>
      <c r="D122" s="1" t="s">
        <v>314</v>
      </c>
      <c r="E122" s="2">
        <v>17</v>
      </c>
      <c r="F122" s="1">
        <v>18000</v>
      </c>
      <c r="G122" s="1" t="s">
        <v>315</v>
      </c>
    </row>
    <row r="123" spans="1:7" x14ac:dyDescent="0.25">
      <c r="A123" s="3" t="s">
        <v>316</v>
      </c>
      <c r="B123" s="1" t="s">
        <v>317</v>
      </c>
      <c r="C123" s="1">
        <v>11</v>
      </c>
      <c r="D123" s="1" t="s">
        <v>318</v>
      </c>
      <c r="E123" s="4" t="s">
        <v>1143</v>
      </c>
      <c r="F123" s="1">
        <v>50</v>
      </c>
      <c r="G123" s="1" t="s">
        <v>212</v>
      </c>
    </row>
    <row r="124" spans="1:7" x14ac:dyDescent="0.25">
      <c r="A124" s="3" t="s">
        <v>319</v>
      </c>
      <c r="B124" s="1" t="s">
        <v>38</v>
      </c>
      <c r="C124" s="1">
        <v>19</v>
      </c>
      <c r="D124" s="1" t="s">
        <v>320</v>
      </c>
      <c r="E124" s="2">
        <v>6</v>
      </c>
      <c r="F124" s="1">
        <v>2300</v>
      </c>
      <c r="G124" s="1" t="s">
        <v>321</v>
      </c>
    </row>
    <row r="125" spans="1:7" x14ac:dyDescent="0.25">
      <c r="A125" s="3" t="s">
        <v>322</v>
      </c>
      <c r="B125" s="1" t="s">
        <v>10</v>
      </c>
      <c r="C125" s="1">
        <v>15</v>
      </c>
      <c r="D125" s="1" t="s">
        <v>11</v>
      </c>
      <c r="E125" s="4" t="s">
        <v>1143</v>
      </c>
      <c r="F125" s="1">
        <v>50</v>
      </c>
      <c r="G125" s="1" t="s">
        <v>323</v>
      </c>
    </row>
    <row r="126" spans="1:7" x14ac:dyDescent="0.25">
      <c r="A126" s="3" t="s">
        <v>324</v>
      </c>
      <c r="B126" s="1" t="s">
        <v>10</v>
      </c>
      <c r="C126" s="1">
        <v>18</v>
      </c>
      <c r="D126" s="1" t="s">
        <v>325</v>
      </c>
      <c r="E126" s="2">
        <v>5</v>
      </c>
      <c r="F126" s="1">
        <v>1800</v>
      </c>
      <c r="G126" s="1" t="s">
        <v>323</v>
      </c>
    </row>
    <row r="127" spans="1:7" x14ac:dyDescent="0.25">
      <c r="A127" s="3" t="s">
        <v>326</v>
      </c>
      <c r="B127" s="1" t="s">
        <v>10</v>
      </c>
      <c r="C127" s="1">
        <v>12</v>
      </c>
      <c r="D127" s="1" t="s">
        <v>327</v>
      </c>
      <c r="E127" s="2">
        <v>7</v>
      </c>
      <c r="F127" s="1">
        <v>2900</v>
      </c>
      <c r="G127" s="1" t="s">
        <v>328</v>
      </c>
    </row>
    <row r="128" spans="1:7" x14ac:dyDescent="0.25">
      <c r="A128" s="3" t="s">
        <v>329</v>
      </c>
      <c r="B128" s="1" t="s">
        <v>10</v>
      </c>
      <c r="C128" s="1">
        <v>16</v>
      </c>
      <c r="D128" s="1" t="s">
        <v>330</v>
      </c>
      <c r="E128" s="2">
        <v>8</v>
      </c>
      <c r="F128" s="1">
        <v>3900</v>
      </c>
      <c r="G128" s="1" t="s">
        <v>328</v>
      </c>
    </row>
    <row r="129" spans="1:7" x14ac:dyDescent="0.25">
      <c r="A129" s="3" t="s">
        <v>331</v>
      </c>
      <c r="B129" s="1" t="s">
        <v>10</v>
      </c>
      <c r="C129" s="1">
        <v>11</v>
      </c>
      <c r="D129" s="1" t="s">
        <v>182</v>
      </c>
      <c r="E129" s="2">
        <v>2</v>
      </c>
      <c r="F129" s="1">
        <v>450</v>
      </c>
      <c r="G129" s="1" t="s">
        <v>332</v>
      </c>
    </row>
    <row r="130" spans="1:7" x14ac:dyDescent="0.25">
      <c r="A130" s="3" t="s">
        <v>333</v>
      </c>
      <c r="B130" s="1" t="s">
        <v>139</v>
      </c>
      <c r="C130" s="1">
        <v>11</v>
      </c>
      <c r="D130" s="1" t="s">
        <v>334</v>
      </c>
      <c r="E130" s="2">
        <v>1</v>
      </c>
      <c r="F130" s="1">
        <v>200</v>
      </c>
      <c r="G130" s="1" t="s">
        <v>335</v>
      </c>
    </row>
    <row r="131" spans="1:7" x14ac:dyDescent="0.25">
      <c r="A131" s="3" t="s">
        <v>336</v>
      </c>
      <c r="B131" s="1" t="s">
        <v>10</v>
      </c>
      <c r="C131" s="1">
        <v>16</v>
      </c>
      <c r="D131" s="1" t="s">
        <v>337</v>
      </c>
      <c r="E131" s="2">
        <v>1</v>
      </c>
      <c r="F131" s="1">
        <v>200</v>
      </c>
      <c r="G131" s="1" t="s">
        <v>338</v>
      </c>
    </row>
    <row r="132" spans="1:7" x14ac:dyDescent="0.25">
      <c r="A132" s="3" t="s">
        <v>339</v>
      </c>
      <c r="B132" s="1" t="s">
        <v>41</v>
      </c>
      <c r="C132" s="1">
        <v>15</v>
      </c>
      <c r="D132" s="1" t="s">
        <v>87</v>
      </c>
      <c r="E132" s="4" t="s">
        <v>1143</v>
      </c>
      <c r="F132" s="1">
        <v>50</v>
      </c>
      <c r="G132" s="1" t="s">
        <v>340</v>
      </c>
    </row>
    <row r="133" spans="1:7" x14ac:dyDescent="0.25">
      <c r="A133" s="3" t="s">
        <v>341</v>
      </c>
      <c r="B133" s="1" t="s">
        <v>342</v>
      </c>
      <c r="C133" s="1">
        <v>12</v>
      </c>
      <c r="D133" s="1" t="s">
        <v>343</v>
      </c>
      <c r="E133" s="4" t="s">
        <v>1144</v>
      </c>
      <c r="F133" s="1">
        <v>100</v>
      </c>
      <c r="G133" s="1" t="s">
        <v>344</v>
      </c>
    </row>
    <row r="134" spans="1:7" x14ac:dyDescent="0.25">
      <c r="A134" s="3" t="s">
        <v>345</v>
      </c>
      <c r="B134" s="1" t="s">
        <v>71</v>
      </c>
      <c r="C134" s="1">
        <v>12</v>
      </c>
      <c r="D134" s="1"/>
      <c r="E134" s="2">
        <v>0</v>
      </c>
      <c r="F134" s="1">
        <v>10</v>
      </c>
      <c r="G134" s="1" t="s">
        <v>346</v>
      </c>
    </row>
    <row r="135" spans="1:7" x14ac:dyDescent="0.25">
      <c r="A135" s="3" t="s">
        <v>347</v>
      </c>
      <c r="B135" s="1" t="s">
        <v>31</v>
      </c>
      <c r="C135" s="1">
        <v>17</v>
      </c>
      <c r="D135" s="1" t="s">
        <v>348</v>
      </c>
      <c r="E135" s="2">
        <v>5</v>
      </c>
      <c r="F135" s="1">
        <v>1800</v>
      </c>
      <c r="G135" s="1" t="s">
        <v>33</v>
      </c>
    </row>
    <row r="136" spans="1:7" x14ac:dyDescent="0.25">
      <c r="A136" s="3" t="s">
        <v>349</v>
      </c>
      <c r="B136" s="1" t="s">
        <v>31</v>
      </c>
      <c r="C136" s="1">
        <v>17</v>
      </c>
      <c r="D136" s="1" t="s">
        <v>350</v>
      </c>
      <c r="E136" s="2">
        <v>11</v>
      </c>
      <c r="F136" s="1">
        <v>7200</v>
      </c>
      <c r="G136" s="1" t="s">
        <v>351</v>
      </c>
    </row>
    <row r="137" spans="1:7" x14ac:dyDescent="0.25">
      <c r="A137" s="3" t="s">
        <v>352</v>
      </c>
      <c r="B137" s="1" t="s">
        <v>48</v>
      </c>
      <c r="C137" s="1">
        <v>12</v>
      </c>
      <c r="D137" s="1"/>
      <c r="E137" s="2">
        <v>4</v>
      </c>
      <c r="F137" s="1">
        <v>1100</v>
      </c>
      <c r="G137" s="1" t="s">
        <v>346</v>
      </c>
    </row>
    <row r="138" spans="1:7" x14ac:dyDescent="0.25">
      <c r="A138" s="3" t="s">
        <v>353</v>
      </c>
      <c r="B138" s="1" t="s">
        <v>35</v>
      </c>
      <c r="C138" s="1">
        <v>10</v>
      </c>
      <c r="D138" s="1" t="s">
        <v>354</v>
      </c>
      <c r="E138" s="4" t="s">
        <v>1143</v>
      </c>
      <c r="F138" s="1">
        <v>50</v>
      </c>
      <c r="G138" s="1" t="s">
        <v>346</v>
      </c>
    </row>
    <row r="139" spans="1:7" x14ac:dyDescent="0.25">
      <c r="A139" s="3" t="s">
        <v>355</v>
      </c>
      <c r="B139" s="1" t="s">
        <v>356</v>
      </c>
      <c r="C139" s="1">
        <v>22</v>
      </c>
      <c r="D139" s="1" t="s">
        <v>357</v>
      </c>
      <c r="E139" s="2">
        <v>23</v>
      </c>
      <c r="F139" s="1">
        <v>50000</v>
      </c>
      <c r="G139" s="1" t="s">
        <v>358</v>
      </c>
    </row>
    <row r="140" spans="1:7" x14ac:dyDescent="0.25">
      <c r="A140" s="3" t="s">
        <v>359</v>
      </c>
      <c r="B140" s="1" t="s">
        <v>97</v>
      </c>
      <c r="C140" s="1">
        <v>18</v>
      </c>
      <c r="D140" s="1"/>
      <c r="E140" s="2">
        <v>12</v>
      </c>
      <c r="F140" s="1">
        <v>8400</v>
      </c>
      <c r="G140" s="1" t="s">
        <v>360</v>
      </c>
    </row>
    <row r="141" spans="1:7" x14ac:dyDescent="0.25">
      <c r="A141" s="3" t="s">
        <v>361</v>
      </c>
      <c r="B141" s="1" t="s">
        <v>105</v>
      </c>
      <c r="C141" s="1">
        <v>13</v>
      </c>
      <c r="D141" s="1" t="s">
        <v>362</v>
      </c>
      <c r="E141" s="2">
        <v>2</v>
      </c>
      <c r="F141" s="1">
        <v>450</v>
      </c>
      <c r="G141" s="1" t="s">
        <v>363</v>
      </c>
    </row>
    <row r="142" spans="1:7" x14ac:dyDescent="0.25">
      <c r="A142" s="3" t="s">
        <v>364</v>
      </c>
      <c r="B142" s="1" t="s">
        <v>365</v>
      </c>
      <c r="C142" s="1">
        <v>12</v>
      </c>
      <c r="D142" s="1" t="s">
        <v>136</v>
      </c>
      <c r="E142" s="2">
        <v>4</v>
      </c>
      <c r="F142" s="1">
        <v>1100</v>
      </c>
      <c r="G142" s="1" t="s">
        <v>366</v>
      </c>
    </row>
    <row r="143" spans="1:7" x14ac:dyDescent="0.25">
      <c r="A143" s="3" t="s">
        <v>367</v>
      </c>
      <c r="B143" s="1" t="s">
        <v>368</v>
      </c>
      <c r="C143" s="1">
        <v>15</v>
      </c>
      <c r="D143" s="1" t="s">
        <v>369</v>
      </c>
      <c r="E143" s="2">
        <v>1</v>
      </c>
      <c r="F143" s="1">
        <v>200</v>
      </c>
      <c r="G143" s="1" t="s">
        <v>370</v>
      </c>
    </row>
    <row r="144" spans="1:7" x14ac:dyDescent="0.25">
      <c r="A144" s="3" t="s">
        <v>371</v>
      </c>
      <c r="B144" s="1" t="s">
        <v>372</v>
      </c>
      <c r="C144" s="1">
        <v>13</v>
      </c>
      <c r="D144" s="1" t="s">
        <v>373</v>
      </c>
      <c r="E144" s="2">
        <v>5</v>
      </c>
      <c r="F144" s="1">
        <v>1800</v>
      </c>
      <c r="G144" s="1" t="s">
        <v>374</v>
      </c>
    </row>
    <row r="145" spans="1:7" x14ac:dyDescent="0.25">
      <c r="A145" s="3" t="s">
        <v>375</v>
      </c>
      <c r="B145" s="1" t="s">
        <v>228</v>
      </c>
      <c r="C145" s="1">
        <v>18</v>
      </c>
      <c r="D145" s="1" t="s">
        <v>376</v>
      </c>
      <c r="E145" s="2">
        <v>9</v>
      </c>
      <c r="F145" s="1">
        <v>5000</v>
      </c>
      <c r="G145" s="1" t="s">
        <v>230</v>
      </c>
    </row>
    <row r="146" spans="1:7" x14ac:dyDescent="0.25">
      <c r="A146" s="3" t="s">
        <v>377</v>
      </c>
      <c r="B146" s="1" t="s">
        <v>67</v>
      </c>
      <c r="C146" s="1">
        <v>14</v>
      </c>
      <c r="D146" s="1" t="s">
        <v>334</v>
      </c>
      <c r="E146" s="2">
        <v>1</v>
      </c>
      <c r="F146" s="1">
        <v>200</v>
      </c>
      <c r="G146" s="1" t="s">
        <v>378</v>
      </c>
    </row>
    <row r="147" spans="1:7" ht="30" x14ac:dyDescent="0.25">
      <c r="A147" s="3" t="s">
        <v>379</v>
      </c>
      <c r="B147" s="1" t="s">
        <v>380</v>
      </c>
      <c r="C147" s="1" t="s">
        <v>381</v>
      </c>
      <c r="D147" s="1" t="s">
        <v>125</v>
      </c>
      <c r="E147" s="2">
        <v>1</v>
      </c>
      <c r="F147" s="1">
        <v>200</v>
      </c>
      <c r="G147" s="1" t="s">
        <v>382</v>
      </c>
    </row>
    <row r="148" spans="1:7" ht="30" x14ac:dyDescent="0.25">
      <c r="A148" s="3" t="s">
        <v>383</v>
      </c>
      <c r="B148" s="1" t="s">
        <v>380</v>
      </c>
      <c r="C148" s="1">
        <v>16</v>
      </c>
      <c r="D148" s="1" t="s">
        <v>246</v>
      </c>
      <c r="E148" s="4" t="s">
        <v>1144</v>
      </c>
      <c r="F148" s="1">
        <v>100</v>
      </c>
      <c r="G148" s="1" t="s">
        <v>384</v>
      </c>
    </row>
    <row r="149" spans="1:7" x14ac:dyDescent="0.25">
      <c r="A149" s="3" t="s">
        <v>385</v>
      </c>
      <c r="B149" s="1" t="s">
        <v>256</v>
      </c>
      <c r="C149" s="1">
        <v>13</v>
      </c>
      <c r="D149" s="1" t="s">
        <v>386</v>
      </c>
      <c r="E149" s="2">
        <v>4</v>
      </c>
      <c r="F149" s="1">
        <v>1100</v>
      </c>
      <c r="G149" s="1" t="s">
        <v>387</v>
      </c>
    </row>
    <row r="150" spans="1:7" x14ac:dyDescent="0.25">
      <c r="A150" s="3" t="s">
        <v>388</v>
      </c>
      <c r="B150" s="1" t="s">
        <v>41</v>
      </c>
      <c r="C150" s="1">
        <v>9</v>
      </c>
      <c r="D150" s="1" t="s">
        <v>389</v>
      </c>
      <c r="E150" s="2">
        <v>5</v>
      </c>
      <c r="F150" s="1">
        <v>1800</v>
      </c>
      <c r="G150" s="1" t="s">
        <v>390</v>
      </c>
    </row>
    <row r="151" spans="1:7" x14ac:dyDescent="0.25">
      <c r="A151" s="3" t="s">
        <v>391</v>
      </c>
      <c r="B151" s="1" t="s">
        <v>392</v>
      </c>
      <c r="C151" s="1">
        <v>12</v>
      </c>
      <c r="D151" s="1" t="s">
        <v>393</v>
      </c>
      <c r="E151" s="4" t="s">
        <v>1142</v>
      </c>
      <c r="F151" s="1">
        <v>25</v>
      </c>
      <c r="G151" s="1" t="s">
        <v>394</v>
      </c>
    </row>
    <row r="152" spans="1:7" x14ac:dyDescent="0.25">
      <c r="A152" s="3" t="s">
        <v>395</v>
      </c>
      <c r="B152" s="1" t="s">
        <v>74</v>
      </c>
      <c r="C152" s="1">
        <v>14</v>
      </c>
      <c r="D152" s="1"/>
      <c r="E152" s="4" t="s">
        <v>1142</v>
      </c>
      <c r="F152" s="1">
        <v>25</v>
      </c>
      <c r="G152" s="1" t="s">
        <v>346</v>
      </c>
    </row>
    <row r="153" spans="1:7" x14ac:dyDescent="0.25">
      <c r="A153" s="3" t="s">
        <v>396</v>
      </c>
      <c r="B153" s="1" t="s">
        <v>397</v>
      </c>
      <c r="C153" s="1">
        <v>17</v>
      </c>
      <c r="D153" s="1" t="s">
        <v>343</v>
      </c>
      <c r="E153" s="4" t="s">
        <v>1143</v>
      </c>
      <c r="F153" s="1">
        <v>50</v>
      </c>
      <c r="G153" s="1" t="s">
        <v>398</v>
      </c>
    </row>
    <row r="154" spans="1:7" x14ac:dyDescent="0.25">
      <c r="A154" s="3" t="s">
        <v>399</v>
      </c>
      <c r="B154" s="1" t="s">
        <v>228</v>
      </c>
      <c r="C154" s="1">
        <v>14</v>
      </c>
      <c r="D154" s="1" t="s">
        <v>400</v>
      </c>
      <c r="E154" s="2">
        <v>8</v>
      </c>
      <c r="F154" s="1">
        <v>3900</v>
      </c>
      <c r="G154" s="1" t="s">
        <v>401</v>
      </c>
    </row>
    <row r="155" spans="1:7" x14ac:dyDescent="0.25">
      <c r="A155" s="3" t="s">
        <v>402</v>
      </c>
      <c r="B155" s="1" t="s">
        <v>74</v>
      </c>
      <c r="C155" s="1">
        <v>11</v>
      </c>
      <c r="D155" s="1"/>
      <c r="E155" s="2">
        <v>0</v>
      </c>
      <c r="F155" s="1">
        <v>10</v>
      </c>
      <c r="G155" s="1" t="s">
        <v>346</v>
      </c>
    </row>
    <row r="156" spans="1:7" x14ac:dyDescent="0.25">
      <c r="A156" s="3" t="s">
        <v>403</v>
      </c>
      <c r="B156" s="1" t="s">
        <v>18</v>
      </c>
      <c r="C156" s="1" t="s">
        <v>26</v>
      </c>
      <c r="D156" s="1">
        <v>184</v>
      </c>
      <c r="E156" s="2"/>
      <c r="F156" s="1">
        <v>5900</v>
      </c>
      <c r="G156" s="1" t="s">
        <v>84</v>
      </c>
    </row>
    <row r="157" spans="1:7" x14ac:dyDescent="0.25">
      <c r="A157" s="3" t="s">
        <v>404</v>
      </c>
      <c r="B157" s="1" t="s">
        <v>228</v>
      </c>
      <c r="C157" s="1">
        <v>15</v>
      </c>
      <c r="D157" s="1" t="s">
        <v>405</v>
      </c>
      <c r="E157" s="2">
        <v>8</v>
      </c>
      <c r="F157" s="1">
        <v>3900</v>
      </c>
      <c r="G157" s="1" t="s">
        <v>406</v>
      </c>
    </row>
    <row r="158" spans="1:7" x14ac:dyDescent="0.25">
      <c r="A158" s="3" t="s">
        <v>407</v>
      </c>
      <c r="B158" s="1" t="s">
        <v>67</v>
      </c>
      <c r="C158" s="1">
        <v>16</v>
      </c>
      <c r="D158" s="1" t="s">
        <v>408</v>
      </c>
      <c r="E158" s="2">
        <v>6</v>
      </c>
      <c r="F158" s="1">
        <v>2300</v>
      </c>
      <c r="G158" s="1" t="s">
        <v>409</v>
      </c>
    </row>
    <row r="159" spans="1:7" x14ac:dyDescent="0.25">
      <c r="A159" s="3" t="s">
        <v>410</v>
      </c>
      <c r="B159" s="1" t="s">
        <v>67</v>
      </c>
      <c r="C159" s="1">
        <v>15</v>
      </c>
      <c r="D159" s="1" t="s">
        <v>411</v>
      </c>
      <c r="E159" s="2">
        <v>2</v>
      </c>
      <c r="F159" s="1">
        <v>450</v>
      </c>
      <c r="G159" s="1" t="s">
        <v>412</v>
      </c>
    </row>
    <row r="160" spans="1:7" x14ac:dyDescent="0.25">
      <c r="A160" s="3" t="s">
        <v>413</v>
      </c>
      <c r="B160" s="1" t="s">
        <v>414</v>
      </c>
      <c r="C160" s="1">
        <v>5</v>
      </c>
      <c r="D160" s="1" t="s">
        <v>415</v>
      </c>
      <c r="E160" s="4" t="s">
        <v>1144</v>
      </c>
      <c r="F160" s="1">
        <v>100</v>
      </c>
      <c r="G160" s="1" t="s">
        <v>416</v>
      </c>
    </row>
    <row r="161" spans="1:7" x14ac:dyDescent="0.25">
      <c r="A161" s="3" t="s">
        <v>417</v>
      </c>
      <c r="B161" s="1" t="s">
        <v>418</v>
      </c>
      <c r="C161" s="1" t="s">
        <v>26</v>
      </c>
      <c r="D161" s="1">
        <v>67</v>
      </c>
      <c r="E161" s="2"/>
      <c r="F161" s="1">
        <v>2300</v>
      </c>
      <c r="G161" s="1" t="s">
        <v>84</v>
      </c>
    </row>
    <row r="162" spans="1:7" x14ac:dyDescent="0.25">
      <c r="A162" s="3" t="s">
        <v>419</v>
      </c>
      <c r="B162" s="1" t="s">
        <v>420</v>
      </c>
      <c r="C162" s="1" t="s">
        <v>26</v>
      </c>
      <c r="D162" s="1">
        <v>13</v>
      </c>
      <c r="E162" s="2"/>
      <c r="F162" s="1">
        <v>100</v>
      </c>
      <c r="G162" s="1" t="s">
        <v>84</v>
      </c>
    </row>
    <row r="163" spans="1:7" x14ac:dyDescent="0.25">
      <c r="A163" s="3" t="s">
        <v>421</v>
      </c>
      <c r="B163" s="1" t="s">
        <v>135</v>
      </c>
      <c r="C163" s="1">
        <v>6</v>
      </c>
      <c r="D163" s="1" t="s">
        <v>422</v>
      </c>
      <c r="E163" s="2">
        <v>2</v>
      </c>
      <c r="F163" s="1">
        <v>450</v>
      </c>
      <c r="G163" s="1" t="s">
        <v>423</v>
      </c>
    </row>
    <row r="164" spans="1:7" x14ac:dyDescent="0.25">
      <c r="A164" s="3" t="s">
        <v>424</v>
      </c>
      <c r="B164" s="1" t="s">
        <v>342</v>
      </c>
      <c r="C164" s="1" t="s">
        <v>425</v>
      </c>
      <c r="D164" s="1" t="s">
        <v>426</v>
      </c>
      <c r="E164" s="4" t="s">
        <v>1143</v>
      </c>
      <c r="F164" s="1">
        <v>50</v>
      </c>
      <c r="G164" s="1" t="s">
        <v>427</v>
      </c>
    </row>
    <row r="165" spans="1:7" x14ac:dyDescent="0.25">
      <c r="A165" s="3" t="s">
        <v>428</v>
      </c>
      <c r="B165" s="1" t="s">
        <v>93</v>
      </c>
      <c r="C165" s="1">
        <v>13</v>
      </c>
      <c r="D165" s="1" t="s">
        <v>429</v>
      </c>
      <c r="E165" s="2">
        <v>2</v>
      </c>
      <c r="F165" s="1">
        <v>450</v>
      </c>
      <c r="G165" s="1" t="s">
        <v>430</v>
      </c>
    </row>
    <row r="166" spans="1:7" x14ac:dyDescent="0.25">
      <c r="A166" s="3" t="s">
        <v>431</v>
      </c>
      <c r="B166" s="1" t="s">
        <v>93</v>
      </c>
      <c r="C166" s="1">
        <v>11</v>
      </c>
      <c r="D166" s="1" t="s">
        <v>327</v>
      </c>
      <c r="E166" s="2">
        <v>4</v>
      </c>
      <c r="F166" s="1">
        <v>1100</v>
      </c>
      <c r="G166" s="1" t="s">
        <v>432</v>
      </c>
    </row>
    <row r="167" spans="1:7" x14ac:dyDescent="0.25">
      <c r="A167" s="3" t="s">
        <v>433</v>
      </c>
      <c r="B167" s="1" t="s">
        <v>93</v>
      </c>
      <c r="C167" s="1">
        <v>12</v>
      </c>
      <c r="D167" s="1" t="s">
        <v>334</v>
      </c>
      <c r="E167" s="2">
        <v>1</v>
      </c>
      <c r="F167" s="1">
        <v>200</v>
      </c>
      <c r="G167" s="1" t="s">
        <v>430</v>
      </c>
    </row>
    <row r="168" spans="1:7" x14ac:dyDescent="0.25">
      <c r="A168" s="3" t="s">
        <v>434</v>
      </c>
      <c r="B168" s="1" t="s">
        <v>48</v>
      </c>
      <c r="C168" s="1">
        <v>12</v>
      </c>
      <c r="D168" s="1"/>
      <c r="E168" s="2">
        <v>7</v>
      </c>
      <c r="F168" s="1">
        <v>2900</v>
      </c>
      <c r="G168" s="1" t="s">
        <v>435</v>
      </c>
    </row>
    <row r="169" spans="1:7" x14ac:dyDescent="0.25">
      <c r="A169" s="3" t="s">
        <v>436</v>
      </c>
      <c r="B169" s="1" t="s">
        <v>50</v>
      </c>
      <c r="C169" s="1">
        <v>10</v>
      </c>
      <c r="D169" s="1"/>
      <c r="E169" s="4" t="s">
        <v>1143</v>
      </c>
      <c r="F169" s="1">
        <v>50</v>
      </c>
      <c r="G169" s="1" t="s">
        <v>435</v>
      </c>
    </row>
    <row r="170" spans="1:7" x14ac:dyDescent="0.25">
      <c r="A170" s="3" t="s">
        <v>437</v>
      </c>
      <c r="B170" s="1" t="s">
        <v>35</v>
      </c>
      <c r="C170" s="1">
        <v>13</v>
      </c>
      <c r="D170" s="1">
        <v>22</v>
      </c>
      <c r="E170" s="4" t="s">
        <v>1143</v>
      </c>
      <c r="F170" s="1">
        <v>50</v>
      </c>
      <c r="G170" s="1" t="s">
        <v>435</v>
      </c>
    </row>
    <row r="171" spans="1:7" x14ac:dyDescent="0.25">
      <c r="A171" s="3" t="s">
        <v>438</v>
      </c>
      <c r="B171" s="1" t="s">
        <v>35</v>
      </c>
      <c r="C171" s="1">
        <v>12</v>
      </c>
      <c r="D171" s="1"/>
      <c r="E171" s="2">
        <v>2</v>
      </c>
      <c r="F171" s="1">
        <v>450</v>
      </c>
      <c r="G171" s="1" t="s">
        <v>435</v>
      </c>
    </row>
    <row r="172" spans="1:7" x14ac:dyDescent="0.25">
      <c r="A172" s="3" t="s">
        <v>439</v>
      </c>
      <c r="B172" s="1" t="s">
        <v>71</v>
      </c>
      <c r="C172" s="1">
        <v>13</v>
      </c>
      <c r="D172" s="1">
        <v>4</v>
      </c>
      <c r="E172" s="4" t="s">
        <v>1143</v>
      </c>
      <c r="F172" s="1">
        <v>50</v>
      </c>
      <c r="G172" s="1" t="s">
        <v>435</v>
      </c>
    </row>
    <row r="173" spans="1:7" x14ac:dyDescent="0.25">
      <c r="A173" s="3" t="s">
        <v>440</v>
      </c>
      <c r="B173" s="1" t="s">
        <v>48</v>
      </c>
      <c r="C173" s="1">
        <v>12</v>
      </c>
      <c r="D173" s="1"/>
      <c r="E173" s="2">
        <v>2</v>
      </c>
      <c r="F173" s="1">
        <v>450</v>
      </c>
      <c r="G173" s="1" t="s">
        <v>441</v>
      </c>
    </row>
    <row r="174" spans="1:7" x14ac:dyDescent="0.25">
      <c r="A174" s="3" t="s">
        <v>442</v>
      </c>
      <c r="B174" s="1" t="s">
        <v>50</v>
      </c>
      <c r="C174" s="1">
        <v>15</v>
      </c>
      <c r="D174" s="1"/>
      <c r="E174" s="4" t="s">
        <v>1142</v>
      </c>
      <c r="F174" s="1">
        <v>25</v>
      </c>
      <c r="G174" s="1" t="s">
        <v>441</v>
      </c>
    </row>
    <row r="175" spans="1:7" x14ac:dyDescent="0.25">
      <c r="A175" s="3" t="s">
        <v>443</v>
      </c>
      <c r="B175" s="1" t="s">
        <v>48</v>
      </c>
      <c r="C175" s="1">
        <v>14</v>
      </c>
      <c r="D175" s="1"/>
      <c r="E175" s="2">
        <v>5</v>
      </c>
      <c r="F175" s="1">
        <v>1800</v>
      </c>
      <c r="G175" s="1" t="s">
        <v>441</v>
      </c>
    </row>
    <row r="176" spans="1:7" x14ac:dyDescent="0.25">
      <c r="A176" s="3" t="s">
        <v>444</v>
      </c>
      <c r="B176" s="1" t="s">
        <v>35</v>
      </c>
      <c r="C176" s="1">
        <v>13</v>
      </c>
      <c r="D176" s="1"/>
      <c r="E176" s="2">
        <v>1</v>
      </c>
      <c r="F176" s="1">
        <v>200</v>
      </c>
      <c r="G176" s="1" t="s">
        <v>441</v>
      </c>
    </row>
    <row r="177" spans="1:7" x14ac:dyDescent="0.25">
      <c r="A177" s="3" t="s">
        <v>445</v>
      </c>
      <c r="B177" s="1" t="s">
        <v>48</v>
      </c>
      <c r="C177" s="1">
        <v>14</v>
      </c>
      <c r="D177" s="1" t="s">
        <v>446</v>
      </c>
      <c r="E177" s="2">
        <v>2</v>
      </c>
      <c r="F177" s="1">
        <v>450</v>
      </c>
      <c r="G177" s="1" t="s">
        <v>447</v>
      </c>
    </row>
    <row r="178" spans="1:7" x14ac:dyDescent="0.25">
      <c r="A178" s="3" t="s">
        <v>448</v>
      </c>
      <c r="B178" s="1" t="s">
        <v>449</v>
      </c>
      <c r="C178" s="1">
        <v>13</v>
      </c>
      <c r="D178" s="1"/>
      <c r="E178" s="2">
        <v>0</v>
      </c>
      <c r="F178" s="1">
        <v>10</v>
      </c>
      <c r="G178" s="1" t="s">
        <v>447</v>
      </c>
    </row>
    <row r="179" spans="1:7" x14ac:dyDescent="0.25">
      <c r="A179" s="3" t="s">
        <v>450</v>
      </c>
      <c r="B179" s="1" t="s">
        <v>50</v>
      </c>
      <c r="C179" s="1">
        <v>11</v>
      </c>
      <c r="D179" s="1">
        <v>18</v>
      </c>
      <c r="E179" s="4" t="s">
        <v>1143</v>
      </c>
      <c r="F179" s="1">
        <v>50</v>
      </c>
      <c r="G179" s="1" t="s">
        <v>447</v>
      </c>
    </row>
    <row r="180" spans="1:7" x14ac:dyDescent="0.25">
      <c r="A180" s="3" t="s">
        <v>451</v>
      </c>
      <c r="B180" s="1" t="s">
        <v>35</v>
      </c>
      <c r="C180" s="1">
        <v>11</v>
      </c>
      <c r="D180" s="1"/>
      <c r="E180" s="4" t="s">
        <v>1144</v>
      </c>
      <c r="F180" s="1">
        <v>100</v>
      </c>
      <c r="G180" s="1" t="s">
        <v>452</v>
      </c>
    </row>
    <row r="181" spans="1:7" x14ac:dyDescent="0.25">
      <c r="A181" s="3" t="s">
        <v>453</v>
      </c>
      <c r="B181" s="1" t="s">
        <v>35</v>
      </c>
      <c r="C181" s="1">
        <v>12</v>
      </c>
      <c r="D181" s="1"/>
      <c r="E181" s="2">
        <v>1</v>
      </c>
      <c r="F181" s="1">
        <v>200</v>
      </c>
      <c r="G181" s="1" t="s">
        <v>452</v>
      </c>
    </row>
    <row r="182" spans="1:7" x14ac:dyDescent="0.25">
      <c r="A182" s="3" t="s">
        <v>454</v>
      </c>
      <c r="B182" s="1" t="s">
        <v>35</v>
      </c>
      <c r="C182" s="1">
        <v>12</v>
      </c>
      <c r="D182" s="1"/>
      <c r="E182" s="4" t="s">
        <v>1143</v>
      </c>
      <c r="F182" s="1">
        <v>50</v>
      </c>
      <c r="G182" s="1" t="s">
        <v>452</v>
      </c>
    </row>
    <row r="183" spans="1:7" x14ac:dyDescent="0.25">
      <c r="A183" s="3" t="s">
        <v>455</v>
      </c>
      <c r="B183" s="1" t="s">
        <v>35</v>
      </c>
      <c r="C183" s="1">
        <v>11</v>
      </c>
      <c r="D183" s="1"/>
      <c r="E183" s="2">
        <v>1</v>
      </c>
      <c r="F183" s="1">
        <v>200</v>
      </c>
      <c r="G183" s="1" t="s">
        <v>452</v>
      </c>
    </row>
    <row r="184" spans="1:7" x14ac:dyDescent="0.25">
      <c r="A184" s="3" t="s">
        <v>456</v>
      </c>
      <c r="B184" s="1" t="s">
        <v>35</v>
      </c>
      <c r="C184" s="1">
        <v>12</v>
      </c>
      <c r="D184" s="1"/>
      <c r="E184" s="4" t="s">
        <v>1143</v>
      </c>
      <c r="F184" s="1">
        <v>50</v>
      </c>
      <c r="G184" s="1" t="s">
        <v>457</v>
      </c>
    </row>
    <row r="185" spans="1:7" x14ac:dyDescent="0.25">
      <c r="A185" s="3" t="s">
        <v>458</v>
      </c>
      <c r="B185" s="1" t="s">
        <v>50</v>
      </c>
      <c r="C185" s="1">
        <v>14</v>
      </c>
      <c r="D185" s="1"/>
      <c r="E185" s="4" t="s">
        <v>1143</v>
      </c>
      <c r="F185" s="1">
        <v>50</v>
      </c>
      <c r="G185" s="1" t="s">
        <v>457</v>
      </c>
    </row>
    <row r="186" spans="1:7" x14ac:dyDescent="0.25">
      <c r="A186" s="3" t="s">
        <v>459</v>
      </c>
      <c r="B186" s="1" t="s">
        <v>71</v>
      </c>
      <c r="C186" s="1">
        <v>12</v>
      </c>
      <c r="D186" s="1" t="s">
        <v>393</v>
      </c>
      <c r="E186" s="4" t="s">
        <v>1142</v>
      </c>
      <c r="F186" s="1">
        <v>25</v>
      </c>
      <c r="G186" s="1" t="s">
        <v>457</v>
      </c>
    </row>
    <row r="187" spans="1:7" x14ac:dyDescent="0.25">
      <c r="A187" s="3" t="s">
        <v>460</v>
      </c>
      <c r="B187" s="1" t="s">
        <v>35</v>
      </c>
      <c r="C187" s="1">
        <v>15</v>
      </c>
      <c r="D187" s="1"/>
      <c r="E187" s="2">
        <v>3</v>
      </c>
      <c r="F187" s="1">
        <v>700</v>
      </c>
      <c r="G187" s="1" t="s">
        <v>457</v>
      </c>
    </row>
    <row r="188" spans="1:7" x14ac:dyDescent="0.25">
      <c r="A188" s="3" t="s">
        <v>461</v>
      </c>
      <c r="B188" s="1" t="s">
        <v>35</v>
      </c>
      <c r="C188" s="1">
        <v>13</v>
      </c>
      <c r="D188" s="1"/>
      <c r="E188" s="4" t="s">
        <v>1144</v>
      </c>
      <c r="F188" s="1">
        <v>100</v>
      </c>
      <c r="G188" s="1" t="s">
        <v>462</v>
      </c>
    </row>
    <row r="189" spans="1:7" x14ac:dyDescent="0.25">
      <c r="A189" s="3" t="s">
        <v>463</v>
      </c>
      <c r="B189" s="1" t="s">
        <v>48</v>
      </c>
      <c r="C189" s="1">
        <v>13</v>
      </c>
      <c r="D189" s="1"/>
      <c r="E189" s="2">
        <v>5</v>
      </c>
      <c r="F189" s="1">
        <v>1800</v>
      </c>
      <c r="G189" s="1" t="s">
        <v>462</v>
      </c>
    </row>
    <row r="190" spans="1:7" x14ac:dyDescent="0.25">
      <c r="A190" s="3" t="s">
        <v>464</v>
      </c>
      <c r="B190" s="1" t="s">
        <v>35</v>
      </c>
      <c r="C190" s="1">
        <v>14</v>
      </c>
      <c r="D190" s="1"/>
      <c r="E190" s="2">
        <v>1</v>
      </c>
      <c r="F190" s="1">
        <v>200</v>
      </c>
      <c r="G190" s="1" t="s">
        <v>462</v>
      </c>
    </row>
    <row r="191" spans="1:7" x14ac:dyDescent="0.25">
      <c r="A191" s="3" t="s">
        <v>465</v>
      </c>
      <c r="B191" s="1" t="s">
        <v>38</v>
      </c>
      <c r="C191" s="1">
        <v>14</v>
      </c>
      <c r="D191" s="1" t="s">
        <v>466</v>
      </c>
      <c r="E191" s="2">
        <v>1</v>
      </c>
      <c r="F191" s="1">
        <v>200</v>
      </c>
      <c r="G191" s="1" t="s">
        <v>382</v>
      </c>
    </row>
    <row r="192" spans="1:7" x14ac:dyDescent="0.25">
      <c r="A192" s="3" t="s">
        <v>467</v>
      </c>
      <c r="B192" s="1" t="s">
        <v>35</v>
      </c>
      <c r="C192" s="1">
        <v>11</v>
      </c>
      <c r="D192" s="1"/>
      <c r="E192" s="2">
        <v>1</v>
      </c>
      <c r="F192" s="1">
        <v>200</v>
      </c>
      <c r="G192" s="1" t="s">
        <v>468</v>
      </c>
    </row>
    <row r="193" spans="1:7" x14ac:dyDescent="0.25">
      <c r="A193" s="3" t="s">
        <v>469</v>
      </c>
      <c r="B193" s="1" t="s">
        <v>35</v>
      </c>
      <c r="C193" s="1">
        <v>10</v>
      </c>
      <c r="D193" s="1"/>
      <c r="E193" s="2">
        <v>1</v>
      </c>
      <c r="F193" s="1">
        <v>200</v>
      </c>
      <c r="G193" s="1" t="s">
        <v>468</v>
      </c>
    </row>
    <row r="194" spans="1:7" x14ac:dyDescent="0.25">
      <c r="A194" s="3" t="s">
        <v>470</v>
      </c>
      <c r="B194" s="1" t="s">
        <v>50</v>
      </c>
      <c r="C194" s="1">
        <v>12</v>
      </c>
      <c r="D194" s="1"/>
      <c r="E194" s="4" t="s">
        <v>1144</v>
      </c>
      <c r="F194" s="1">
        <v>100</v>
      </c>
      <c r="G194" s="1" t="s">
        <v>468</v>
      </c>
    </row>
    <row r="195" spans="1:7" x14ac:dyDescent="0.25">
      <c r="A195" s="3" t="s">
        <v>471</v>
      </c>
      <c r="B195" s="1" t="s">
        <v>50</v>
      </c>
      <c r="C195" s="1">
        <v>13</v>
      </c>
      <c r="D195" s="1"/>
      <c r="E195" s="4" t="s">
        <v>1142</v>
      </c>
      <c r="F195" s="1">
        <v>25</v>
      </c>
      <c r="G195" s="1" t="s">
        <v>468</v>
      </c>
    </row>
    <row r="196" spans="1:7" x14ac:dyDescent="0.25">
      <c r="A196" s="3" t="s">
        <v>472</v>
      </c>
      <c r="B196" s="1" t="s">
        <v>50</v>
      </c>
      <c r="C196" s="1">
        <v>13</v>
      </c>
      <c r="D196" s="1"/>
      <c r="E196" s="4" t="s">
        <v>1143</v>
      </c>
      <c r="F196" s="1">
        <v>50</v>
      </c>
      <c r="G196" s="1" t="s">
        <v>473</v>
      </c>
    </row>
    <row r="197" spans="1:7" x14ac:dyDescent="0.25">
      <c r="A197" s="3" t="s">
        <v>474</v>
      </c>
      <c r="B197" s="1" t="s">
        <v>418</v>
      </c>
      <c r="C197" s="1">
        <v>9</v>
      </c>
      <c r="D197" s="1" t="s">
        <v>121</v>
      </c>
      <c r="E197" s="2">
        <v>2</v>
      </c>
      <c r="F197" s="1">
        <v>450</v>
      </c>
      <c r="G197" s="1" t="s">
        <v>475</v>
      </c>
    </row>
    <row r="198" spans="1:7" x14ac:dyDescent="0.25">
      <c r="A198" s="3" t="s">
        <v>476</v>
      </c>
      <c r="B198" s="1" t="s">
        <v>38</v>
      </c>
      <c r="C198" s="1">
        <v>13</v>
      </c>
      <c r="D198" s="1" t="s">
        <v>477</v>
      </c>
      <c r="E198" s="2">
        <v>4</v>
      </c>
      <c r="F198" s="1">
        <v>1100</v>
      </c>
      <c r="G198" s="1" t="s">
        <v>478</v>
      </c>
    </row>
    <row r="199" spans="1:7" x14ac:dyDescent="0.25">
      <c r="A199" s="3" t="s">
        <v>479</v>
      </c>
      <c r="B199" s="1" t="s">
        <v>10</v>
      </c>
      <c r="C199" s="1">
        <v>18</v>
      </c>
      <c r="D199" s="1" t="s">
        <v>480</v>
      </c>
      <c r="E199" s="2">
        <v>8</v>
      </c>
      <c r="F199" s="1">
        <v>3900</v>
      </c>
      <c r="G199" s="1" t="s">
        <v>481</v>
      </c>
    </row>
    <row r="200" spans="1:7" x14ac:dyDescent="0.25">
      <c r="A200" s="3" t="s">
        <v>482</v>
      </c>
      <c r="B200" s="1" t="s">
        <v>10</v>
      </c>
      <c r="C200" s="1">
        <v>17</v>
      </c>
      <c r="D200" s="1" t="s">
        <v>483</v>
      </c>
      <c r="E200" s="2">
        <v>3</v>
      </c>
      <c r="F200" s="1">
        <v>700</v>
      </c>
      <c r="G200" s="1" t="s">
        <v>481</v>
      </c>
    </row>
    <row r="201" spans="1:7" x14ac:dyDescent="0.25">
      <c r="A201" s="3" t="s">
        <v>484</v>
      </c>
      <c r="B201" s="1" t="s">
        <v>10</v>
      </c>
      <c r="C201" s="1">
        <v>14</v>
      </c>
      <c r="D201" s="1" t="s">
        <v>485</v>
      </c>
      <c r="E201" s="2">
        <v>2</v>
      </c>
      <c r="F201" s="1">
        <v>450</v>
      </c>
      <c r="G201" s="1" t="s">
        <v>486</v>
      </c>
    </row>
    <row r="202" spans="1:7" x14ac:dyDescent="0.25">
      <c r="A202" s="3" t="s">
        <v>487</v>
      </c>
      <c r="B202" s="1" t="s">
        <v>10</v>
      </c>
      <c r="C202" s="1">
        <v>17</v>
      </c>
      <c r="D202" s="1" t="s">
        <v>488</v>
      </c>
      <c r="E202" s="2">
        <v>6</v>
      </c>
      <c r="F202" s="1">
        <v>2300</v>
      </c>
      <c r="G202" s="1" t="s">
        <v>486</v>
      </c>
    </row>
    <row r="203" spans="1:7" x14ac:dyDescent="0.25">
      <c r="A203" s="3" t="s">
        <v>489</v>
      </c>
      <c r="B203" s="1" t="s">
        <v>100</v>
      </c>
      <c r="C203" s="1">
        <v>17</v>
      </c>
      <c r="D203" s="1" t="s">
        <v>490</v>
      </c>
      <c r="E203" s="2">
        <v>9</v>
      </c>
      <c r="F203" s="1">
        <v>5000</v>
      </c>
      <c r="G203" s="1" t="s">
        <v>491</v>
      </c>
    </row>
    <row r="204" spans="1:7" x14ac:dyDescent="0.25">
      <c r="A204" s="3" t="s">
        <v>492</v>
      </c>
      <c r="B204" s="1" t="s">
        <v>10</v>
      </c>
      <c r="C204" s="1">
        <v>16</v>
      </c>
      <c r="D204" s="1" t="s">
        <v>493</v>
      </c>
      <c r="E204" s="2">
        <v>5</v>
      </c>
      <c r="F204" s="1">
        <v>1800</v>
      </c>
      <c r="G204" s="1" t="s">
        <v>332</v>
      </c>
    </row>
    <row r="205" spans="1:7" x14ac:dyDescent="0.25">
      <c r="A205" s="3" t="s">
        <v>494</v>
      </c>
      <c r="B205" s="1" t="s">
        <v>10</v>
      </c>
      <c r="C205" s="1">
        <v>15</v>
      </c>
      <c r="D205" s="1" t="s">
        <v>334</v>
      </c>
      <c r="E205" s="4" t="s">
        <v>1144</v>
      </c>
      <c r="F205" s="1">
        <v>100</v>
      </c>
      <c r="G205" s="1" t="s">
        <v>495</v>
      </c>
    </row>
    <row r="206" spans="1:7" x14ac:dyDescent="0.25">
      <c r="A206" s="3" t="s">
        <v>496</v>
      </c>
      <c r="B206" s="1" t="s">
        <v>10</v>
      </c>
      <c r="C206" s="1">
        <v>14</v>
      </c>
      <c r="D206" s="1" t="s">
        <v>90</v>
      </c>
      <c r="E206" s="2">
        <v>4</v>
      </c>
      <c r="F206" s="1">
        <v>1100</v>
      </c>
      <c r="G206" s="1" t="s">
        <v>495</v>
      </c>
    </row>
    <row r="207" spans="1:7" x14ac:dyDescent="0.25">
      <c r="A207" s="3" t="s">
        <v>497</v>
      </c>
      <c r="B207" s="1" t="s">
        <v>10</v>
      </c>
      <c r="C207" s="1">
        <v>15</v>
      </c>
      <c r="D207" s="1" t="s">
        <v>483</v>
      </c>
      <c r="E207" s="2">
        <v>2</v>
      </c>
      <c r="F207" s="1">
        <v>450</v>
      </c>
      <c r="G207" s="1" t="s">
        <v>495</v>
      </c>
    </row>
    <row r="208" spans="1:7" x14ac:dyDescent="0.25">
      <c r="A208" s="3" t="s">
        <v>498</v>
      </c>
      <c r="B208" s="1" t="s">
        <v>499</v>
      </c>
      <c r="C208" s="1">
        <v>15</v>
      </c>
      <c r="D208" s="1" t="s">
        <v>500</v>
      </c>
      <c r="E208" s="4" t="s">
        <v>1144</v>
      </c>
      <c r="F208" s="1">
        <v>100</v>
      </c>
      <c r="G208" s="1" t="s">
        <v>501</v>
      </c>
    </row>
    <row r="209" spans="1:7" x14ac:dyDescent="0.25">
      <c r="A209" s="3" t="s">
        <v>502</v>
      </c>
      <c r="B209" s="1" t="s">
        <v>50</v>
      </c>
      <c r="C209" s="1">
        <v>10</v>
      </c>
      <c r="D209" s="1"/>
      <c r="E209" s="2">
        <v>0</v>
      </c>
      <c r="F209" s="1">
        <v>10</v>
      </c>
      <c r="G209" s="1" t="s">
        <v>473</v>
      </c>
    </row>
    <row r="210" spans="1:7" x14ac:dyDescent="0.25">
      <c r="A210" s="3" t="s">
        <v>503</v>
      </c>
      <c r="B210" s="1" t="s">
        <v>504</v>
      </c>
      <c r="C210" s="1">
        <v>15</v>
      </c>
      <c r="D210" s="1" t="s">
        <v>393</v>
      </c>
      <c r="E210" s="4" t="s">
        <v>1143</v>
      </c>
      <c r="F210" s="1">
        <v>50</v>
      </c>
      <c r="G210" s="1" t="s">
        <v>505</v>
      </c>
    </row>
    <row r="211" spans="1:7" x14ac:dyDescent="0.25">
      <c r="A211" s="3" t="s">
        <v>506</v>
      </c>
      <c r="B211" s="1" t="s">
        <v>504</v>
      </c>
      <c r="C211" s="1">
        <v>17</v>
      </c>
      <c r="D211" s="1" t="s">
        <v>507</v>
      </c>
      <c r="E211" s="2">
        <v>1</v>
      </c>
      <c r="F211" s="1">
        <v>200</v>
      </c>
      <c r="G211" s="1" t="s">
        <v>505</v>
      </c>
    </row>
    <row r="212" spans="1:7" x14ac:dyDescent="0.25">
      <c r="A212" s="3" t="s">
        <v>508</v>
      </c>
      <c r="B212" s="1" t="s">
        <v>25</v>
      </c>
      <c r="C212" s="1">
        <v>19</v>
      </c>
      <c r="D212" s="1" t="s">
        <v>29</v>
      </c>
      <c r="E212" s="2">
        <v>17</v>
      </c>
      <c r="F212" s="1">
        <v>18000</v>
      </c>
      <c r="G212" s="1" t="s">
        <v>509</v>
      </c>
    </row>
    <row r="213" spans="1:7" x14ac:dyDescent="0.25">
      <c r="A213" s="3" t="s">
        <v>510</v>
      </c>
      <c r="B213" s="1" t="s">
        <v>129</v>
      </c>
      <c r="C213" s="1">
        <v>22</v>
      </c>
      <c r="D213" s="1" t="s">
        <v>511</v>
      </c>
      <c r="E213" s="2">
        <v>24</v>
      </c>
      <c r="F213" s="1">
        <v>62000</v>
      </c>
      <c r="G213" s="1" t="s">
        <v>512</v>
      </c>
    </row>
    <row r="214" spans="1:7" x14ac:dyDescent="0.25">
      <c r="A214" s="3" t="s">
        <v>513</v>
      </c>
      <c r="B214" s="1" t="s">
        <v>124</v>
      </c>
      <c r="C214" s="1">
        <v>17</v>
      </c>
      <c r="D214" s="1" t="s">
        <v>514</v>
      </c>
      <c r="E214" s="2">
        <v>3</v>
      </c>
      <c r="F214" s="1">
        <v>700</v>
      </c>
      <c r="G214" s="1" t="s">
        <v>515</v>
      </c>
    </row>
    <row r="215" spans="1:7" x14ac:dyDescent="0.25">
      <c r="A215" s="3" t="s">
        <v>516</v>
      </c>
      <c r="B215" s="1" t="s">
        <v>133</v>
      </c>
      <c r="C215" s="1">
        <v>18</v>
      </c>
      <c r="D215" s="1" t="s">
        <v>517</v>
      </c>
      <c r="E215" s="2">
        <v>10</v>
      </c>
      <c r="F215" s="1">
        <v>5900</v>
      </c>
      <c r="G215" s="1" t="s">
        <v>515</v>
      </c>
    </row>
    <row r="216" spans="1:7" x14ac:dyDescent="0.25">
      <c r="A216" s="3" t="s">
        <v>518</v>
      </c>
      <c r="B216" s="1" t="s">
        <v>221</v>
      </c>
      <c r="C216" s="1">
        <v>19</v>
      </c>
      <c r="D216" s="1" t="s">
        <v>519</v>
      </c>
      <c r="E216" s="2">
        <v>5</v>
      </c>
      <c r="F216" s="1">
        <v>1800</v>
      </c>
      <c r="G216" s="1" t="s">
        <v>520</v>
      </c>
    </row>
    <row r="217" spans="1:7" x14ac:dyDescent="0.25">
      <c r="A217" s="3" t="s">
        <v>521</v>
      </c>
      <c r="B217" s="1" t="s">
        <v>80</v>
      </c>
      <c r="C217" s="1">
        <v>19</v>
      </c>
      <c r="D217" s="1" t="s">
        <v>522</v>
      </c>
      <c r="E217" s="2">
        <v>17</v>
      </c>
      <c r="F217" s="1">
        <v>18000</v>
      </c>
      <c r="G217" s="1" t="s">
        <v>523</v>
      </c>
    </row>
    <row r="218" spans="1:7" x14ac:dyDescent="0.25">
      <c r="A218" s="3" t="s">
        <v>524</v>
      </c>
      <c r="B218" s="1" t="s">
        <v>525</v>
      </c>
      <c r="C218" s="1">
        <v>8</v>
      </c>
      <c r="D218" s="1" t="s">
        <v>526</v>
      </c>
      <c r="E218" s="4" t="s">
        <v>1144</v>
      </c>
      <c r="F218" s="1">
        <v>100</v>
      </c>
      <c r="G218" s="1" t="s">
        <v>527</v>
      </c>
    </row>
    <row r="219" spans="1:7" ht="30" x14ac:dyDescent="0.25">
      <c r="A219" s="3" t="s">
        <v>528</v>
      </c>
      <c r="B219" s="1" t="s">
        <v>286</v>
      </c>
      <c r="C219" s="1">
        <v>18</v>
      </c>
      <c r="D219" s="1">
        <v>127</v>
      </c>
      <c r="E219" s="2">
        <v>9</v>
      </c>
      <c r="F219" s="1">
        <v>5000</v>
      </c>
      <c r="G219" s="1" t="s">
        <v>529</v>
      </c>
    </row>
    <row r="220" spans="1:7" x14ac:dyDescent="0.25">
      <c r="A220" s="3" t="s">
        <v>530</v>
      </c>
      <c r="B220" s="1" t="s">
        <v>25</v>
      </c>
      <c r="C220" s="1">
        <v>19</v>
      </c>
      <c r="D220" s="1"/>
      <c r="E220" s="2">
        <v>15</v>
      </c>
      <c r="F220" s="1">
        <v>13000</v>
      </c>
      <c r="G220" s="1" t="s">
        <v>531</v>
      </c>
    </row>
    <row r="221" spans="1:7" x14ac:dyDescent="0.25">
      <c r="A221" s="3" t="s">
        <v>532</v>
      </c>
      <c r="B221" s="1" t="s">
        <v>129</v>
      </c>
      <c r="C221" s="1">
        <v>21</v>
      </c>
      <c r="D221" s="1"/>
      <c r="E221" s="2">
        <v>22</v>
      </c>
      <c r="F221" s="1">
        <v>41000</v>
      </c>
      <c r="G221" s="1" t="s">
        <v>533</v>
      </c>
    </row>
    <row r="222" spans="1:7" x14ac:dyDescent="0.25">
      <c r="A222" s="3" t="s">
        <v>534</v>
      </c>
      <c r="B222" s="1" t="s">
        <v>124</v>
      </c>
      <c r="C222" s="1">
        <v>17</v>
      </c>
      <c r="D222" s="1"/>
      <c r="E222" s="2">
        <v>2</v>
      </c>
      <c r="F222" s="1">
        <v>450</v>
      </c>
      <c r="G222" s="1" t="s">
        <v>535</v>
      </c>
    </row>
    <row r="223" spans="1:7" x14ac:dyDescent="0.25">
      <c r="A223" s="3" t="s">
        <v>536</v>
      </c>
      <c r="B223" s="1" t="s">
        <v>133</v>
      </c>
      <c r="C223" s="1">
        <v>18</v>
      </c>
      <c r="D223" s="1"/>
      <c r="E223" s="2">
        <v>8</v>
      </c>
      <c r="F223" s="1">
        <v>3900</v>
      </c>
      <c r="G223" s="1" t="s">
        <v>531</v>
      </c>
    </row>
    <row r="224" spans="1:7" x14ac:dyDescent="0.25">
      <c r="A224" s="3" t="s">
        <v>537</v>
      </c>
      <c r="B224" s="1" t="s">
        <v>139</v>
      </c>
      <c r="C224" s="1">
        <v>17</v>
      </c>
      <c r="D224" s="1" t="s">
        <v>538</v>
      </c>
      <c r="E224" s="2">
        <v>3</v>
      </c>
      <c r="F224" s="1">
        <v>700</v>
      </c>
      <c r="G224" s="1" t="s">
        <v>539</v>
      </c>
    </row>
    <row r="225" spans="1:7" ht="30" x14ac:dyDescent="0.25">
      <c r="A225" s="3" t="s">
        <v>540</v>
      </c>
      <c r="B225" s="1" t="s">
        <v>541</v>
      </c>
      <c r="C225" s="1">
        <v>16</v>
      </c>
      <c r="D225" s="1">
        <v>127</v>
      </c>
      <c r="E225" s="2">
        <v>8</v>
      </c>
      <c r="F225" s="1">
        <v>3900</v>
      </c>
      <c r="G225" s="1" t="s">
        <v>529</v>
      </c>
    </row>
    <row r="226" spans="1:7" x14ac:dyDescent="0.25">
      <c r="A226" s="3" t="s">
        <v>542</v>
      </c>
      <c r="B226" s="1" t="s">
        <v>418</v>
      </c>
      <c r="C226" s="1">
        <v>12</v>
      </c>
      <c r="D226" s="1" t="s">
        <v>543</v>
      </c>
      <c r="E226" s="2">
        <v>3</v>
      </c>
      <c r="F226" s="1">
        <v>700</v>
      </c>
      <c r="G226" s="1" t="s">
        <v>544</v>
      </c>
    </row>
    <row r="227" spans="1:7" x14ac:dyDescent="0.25">
      <c r="A227" s="3" t="s">
        <v>545</v>
      </c>
      <c r="B227" s="1" t="s">
        <v>525</v>
      </c>
      <c r="C227" s="1" t="s">
        <v>26</v>
      </c>
      <c r="D227" s="1" t="s">
        <v>526</v>
      </c>
      <c r="E227" s="2"/>
      <c r="F227" s="1">
        <v>10</v>
      </c>
      <c r="G227" s="1" t="s">
        <v>26</v>
      </c>
    </row>
    <row r="228" spans="1:7" x14ac:dyDescent="0.25">
      <c r="A228" s="3" t="s">
        <v>546</v>
      </c>
      <c r="B228" s="1" t="s">
        <v>105</v>
      </c>
      <c r="C228" s="1">
        <v>14</v>
      </c>
      <c r="D228" s="1" t="s">
        <v>547</v>
      </c>
      <c r="E228" s="2">
        <v>2</v>
      </c>
      <c r="F228" s="1">
        <v>450</v>
      </c>
      <c r="G228" s="1" t="s">
        <v>548</v>
      </c>
    </row>
    <row r="229" spans="1:7" x14ac:dyDescent="0.25">
      <c r="A229" s="3" t="s">
        <v>549</v>
      </c>
      <c r="B229" s="1" t="s">
        <v>105</v>
      </c>
      <c r="C229" s="1">
        <v>18</v>
      </c>
      <c r="D229" s="1" t="s">
        <v>292</v>
      </c>
      <c r="E229" s="2">
        <v>7</v>
      </c>
      <c r="F229" s="1">
        <v>2900</v>
      </c>
      <c r="G229" s="1" t="s">
        <v>548</v>
      </c>
    </row>
    <row r="230" spans="1:7" x14ac:dyDescent="0.25">
      <c r="A230" s="3" t="s">
        <v>550</v>
      </c>
      <c r="B230" s="1" t="s">
        <v>38</v>
      </c>
      <c r="C230" s="1">
        <v>12</v>
      </c>
      <c r="D230" s="1" t="s">
        <v>477</v>
      </c>
      <c r="E230" s="2">
        <v>2</v>
      </c>
      <c r="F230" s="1">
        <v>450</v>
      </c>
      <c r="G230" s="1" t="s">
        <v>551</v>
      </c>
    </row>
    <row r="231" spans="1:7" x14ac:dyDescent="0.25">
      <c r="A231" s="3" t="s">
        <v>552</v>
      </c>
      <c r="B231" s="1" t="s">
        <v>10</v>
      </c>
      <c r="C231" s="1">
        <v>11</v>
      </c>
      <c r="D231" s="1" t="s">
        <v>87</v>
      </c>
      <c r="E231" s="4" t="s">
        <v>1143</v>
      </c>
      <c r="F231" s="1">
        <v>50</v>
      </c>
      <c r="G231" s="1" t="s">
        <v>553</v>
      </c>
    </row>
    <row r="232" spans="1:7" x14ac:dyDescent="0.25">
      <c r="A232" s="3" t="s">
        <v>554</v>
      </c>
      <c r="B232" s="1" t="s">
        <v>10</v>
      </c>
      <c r="C232" s="1">
        <v>16</v>
      </c>
      <c r="D232" s="1" t="s">
        <v>87</v>
      </c>
      <c r="E232" s="4" t="s">
        <v>1142</v>
      </c>
      <c r="F232" s="1">
        <v>25</v>
      </c>
      <c r="G232" s="1" t="s">
        <v>555</v>
      </c>
    </row>
    <row r="233" spans="1:7" x14ac:dyDescent="0.25">
      <c r="A233" s="3" t="s">
        <v>556</v>
      </c>
      <c r="B233" s="1" t="s">
        <v>38</v>
      </c>
      <c r="C233" s="1">
        <v>18</v>
      </c>
      <c r="D233" s="1" t="s">
        <v>557</v>
      </c>
      <c r="E233" s="2">
        <v>10</v>
      </c>
      <c r="F233" s="1">
        <v>5900</v>
      </c>
      <c r="G233" s="1" t="s">
        <v>558</v>
      </c>
    </row>
    <row r="234" spans="1:7" x14ac:dyDescent="0.25">
      <c r="A234" s="3" t="s">
        <v>559</v>
      </c>
      <c r="B234" s="1" t="s">
        <v>38</v>
      </c>
      <c r="C234" s="1">
        <v>17</v>
      </c>
      <c r="D234" s="1"/>
      <c r="E234" s="2">
        <v>11</v>
      </c>
      <c r="F234" s="1">
        <v>7200</v>
      </c>
      <c r="G234" s="1" t="s">
        <v>560</v>
      </c>
    </row>
    <row r="235" spans="1:7" x14ac:dyDescent="0.25">
      <c r="A235" s="3" t="s">
        <v>561</v>
      </c>
      <c r="B235" s="1" t="s">
        <v>562</v>
      </c>
      <c r="C235" s="1">
        <v>12</v>
      </c>
      <c r="D235" s="1" t="s">
        <v>563</v>
      </c>
      <c r="E235" s="2">
        <v>1</v>
      </c>
      <c r="F235" s="1">
        <v>200</v>
      </c>
      <c r="G235" s="1" t="s">
        <v>564</v>
      </c>
    </row>
    <row r="236" spans="1:7" x14ac:dyDescent="0.25">
      <c r="A236" s="3" t="s">
        <v>565</v>
      </c>
      <c r="B236" s="1" t="s">
        <v>562</v>
      </c>
      <c r="C236" s="1" t="s">
        <v>26</v>
      </c>
      <c r="D236" s="1">
        <v>30</v>
      </c>
      <c r="E236" s="2"/>
      <c r="F236" s="1">
        <v>10</v>
      </c>
      <c r="G236" s="1" t="s">
        <v>26</v>
      </c>
    </row>
    <row r="237" spans="1:7" x14ac:dyDescent="0.25">
      <c r="A237" s="3" t="s">
        <v>566</v>
      </c>
      <c r="B237" s="1" t="s">
        <v>10</v>
      </c>
      <c r="C237" s="1">
        <v>18</v>
      </c>
      <c r="D237" s="1" t="s">
        <v>90</v>
      </c>
      <c r="E237" s="2">
        <v>5</v>
      </c>
      <c r="F237" s="1">
        <v>1800</v>
      </c>
      <c r="G237" s="1" t="s">
        <v>567</v>
      </c>
    </row>
    <row r="238" spans="1:7" x14ac:dyDescent="0.25">
      <c r="A238" s="3" t="s">
        <v>568</v>
      </c>
      <c r="B238" s="1" t="s">
        <v>105</v>
      </c>
      <c r="C238" s="1">
        <v>11</v>
      </c>
      <c r="D238" s="1" t="s">
        <v>485</v>
      </c>
      <c r="E238" s="2">
        <v>1</v>
      </c>
      <c r="F238" s="1">
        <v>200</v>
      </c>
      <c r="G238" s="1" t="s">
        <v>569</v>
      </c>
    </row>
    <row r="239" spans="1:7" x14ac:dyDescent="0.25">
      <c r="A239" s="3" t="s">
        <v>570</v>
      </c>
      <c r="B239" s="1" t="s">
        <v>74</v>
      </c>
      <c r="C239" s="1">
        <v>13</v>
      </c>
      <c r="D239" s="1"/>
      <c r="E239" s="2">
        <v>0</v>
      </c>
      <c r="F239" s="1">
        <v>10</v>
      </c>
      <c r="G239" s="1" t="s">
        <v>473</v>
      </c>
    </row>
    <row r="240" spans="1:7" x14ac:dyDescent="0.25">
      <c r="A240" s="3" t="s">
        <v>571</v>
      </c>
      <c r="B240" s="1" t="s">
        <v>53</v>
      </c>
      <c r="C240" s="1">
        <v>15</v>
      </c>
      <c r="D240" s="1" t="s">
        <v>572</v>
      </c>
      <c r="E240" s="2">
        <v>3</v>
      </c>
      <c r="F240" s="1">
        <v>700</v>
      </c>
      <c r="G240" s="1" t="s">
        <v>573</v>
      </c>
    </row>
    <row r="241" spans="1:7" x14ac:dyDescent="0.25">
      <c r="A241" s="3" t="s">
        <v>574</v>
      </c>
      <c r="B241" s="1" t="s">
        <v>41</v>
      </c>
      <c r="C241" s="1">
        <v>20</v>
      </c>
      <c r="D241" s="1" t="s">
        <v>514</v>
      </c>
      <c r="E241" s="2">
        <v>4</v>
      </c>
      <c r="F241" s="1">
        <v>1100</v>
      </c>
      <c r="G241" s="1" t="s">
        <v>575</v>
      </c>
    </row>
    <row r="242" spans="1:7" x14ac:dyDescent="0.25">
      <c r="A242" s="3" t="s">
        <v>576</v>
      </c>
      <c r="B242" s="1" t="s">
        <v>100</v>
      </c>
      <c r="C242" s="1">
        <v>16</v>
      </c>
      <c r="D242" s="1" t="s">
        <v>577</v>
      </c>
      <c r="E242" s="2">
        <v>8</v>
      </c>
      <c r="F242" s="1">
        <v>3900</v>
      </c>
      <c r="G242" s="1" t="s">
        <v>578</v>
      </c>
    </row>
    <row r="243" spans="1:7" x14ac:dyDescent="0.25">
      <c r="A243" s="3" t="s">
        <v>579</v>
      </c>
      <c r="B243" s="1" t="s">
        <v>228</v>
      </c>
      <c r="C243" s="1">
        <v>13</v>
      </c>
      <c r="D243" s="1" t="s">
        <v>580</v>
      </c>
      <c r="E243" s="2">
        <v>5</v>
      </c>
      <c r="F243" s="1">
        <v>1800</v>
      </c>
      <c r="G243" s="1" t="s">
        <v>406</v>
      </c>
    </row>
    <row r="244" spans="1:7" x14ac:dyDescent="0.25">
      <c r="A244" s="3" t="s">
        <v>581</v>
      </c>
      <c r="B244" s="1" t="s">
        <v>38</v>
      </c>
      <c r="C244" s="1">
        <v>11</v>
      </c>
      <c r="D244" s="1" t="s">
        <v>582</v>
      </c>
      <c r="E244" s="2">
        <v>1</v>
      </c>
      <c r="F244" s="1">
        <v>200</v>
      </c>
      <c r="G244" s="1" t="s">
        <v>583</v>
      </c>
    </row>
    <row r="245" spans="1:7" x14ac:dyDescent="0.25">
      <c r="A245" s="3" t="s">
        <v>584</v>
      </c>
      <c r="B245" s="1" t="s">
        <v>10</v>
      </c>
      <c r="C245" s="1">
        <v>18</v>
      </c>
      <c r="D245" s="1" t="s">
        <v>87</v>
      </c>
      <c r="E245" s="4" t="s">
        <v>1144</v>
      </c>
      <c r="F245" s="1">
        <v>100</v>
      </c>
      <c r="G245" s="1" t="s">
        <v>585</v>
      </c>
    </row>
    <row r="246" spans="1:7" x14ac:dyDescent="0.25">
      <c r="A246" s="3" t="s">
        <v>586</v>
      </c>
      <c r="B246" s="1" t="s">
        <v>10</v>
      </c>
      <c r="C246" s="1">
        <v>17</v>
      </c>
      <c r="D246" s="1" t="s">
        <v>279</v>
      </c>
      <c r="E246" s="2">
        <v>3</v>
      </c>
      <c r="F246" s="1">
        <v>700</v>
      </c>
      <c r="G246" s="1" t="s">
        <v>585</v>
      </c>
    </row>
    <row r="247" spans="1:7" x14ac:dyDescent="0.25">
      <c r="A247" s="3" t="s">
        <v>587</v>
      </c>
      <c r="B247" s="1" t="s">
        <v>10</v>
      </c>
      <c r="C247" s="1">
        <v>20</v>
      </c>
      <c r="D247" s="1" t="s">
        <v>588</v>
      </c>
      <c r="E247" s="2">
        <v>6</v>
      </c>
      <c r="F247" s="1">
        <v>2300</v>
      </c>
      <c r="G247" s="1" t="s">
        <v>589</v>
      </c>
    </row>
    <row r="248" spans="1:7" x14ac:dyDescent="0.25">
      <c r="A248" s="3" t="s">
        <v>590</v>
      </c>
      <c r="B248" s="1" t="s">
        <v>591</v>
      </c>
      <c r="C248" s="1">
        <v>13</v>
      </c>
      <c r="D248" s="1" t="s">
        <v>592</v>
      </c>
      <c r="E248" s="2">
        <v>0</v>
      </c>
      <c r="F248" s="1">
        <v>10</v>
      </c>
      <c r="G248" s="1" t="s">
        <v>593</v>
      </c>
    </row>
    <row r="249" spans="1:7" x14ac:dyDescent="0.25">
      <c r="A249" s="3" t="s">
        <v>594</v>
      </c>
      <c r="B249" s="1" t="s">
        <v>38</v>
      </c>
      <c r="C249" s="1">
        <v>15</v>
      </c>
      <c r="D249" s="1" t="s">
        <v>292</v>
      </c>
      <c r="E249" s="2">
        <v>3</v>
      </c>
      <c r="F249" s="1">
        <v>700</v>
      </c>
      <c r="G249" s="1" t="s">
        <v>595</v>
      </c>
    </row>
    <row r="250" spans="1:7" x14ac:dyDescent="0.25">
      <c r="A250" s="3" t="s">
        <v>596</v>
      </c>
      <c r="B250" s="1" t="s">
        <v>153</v>
      </c>
      <c r="C250" s="1">
        <v>18</v>
      </c>
      <c r="D250" s="1"/>
      <c r="E250" s="2">
        <v>11</v>
      </c>
      <c r="F250" s="1">
        <v>7200</v>
      </c>
      <c r="G250" s="1" t="s">
        <v>597</v>
      </c>
    </row>
    <row r="251" spans="1:7" x14ac:dyDescent="0.25">
      <c r="A251" s="3" t="s">
        <v>598</v>
      </c>
      <c r="B251" s="1" t="s">
        <v>35</v>
      </c>
      <c r="C251" s="1">
        <v>12</v>
      </c>
      <c r="D251" s="1"/>
      <c r="E251" s="2">
        <v>2</v>
      </c>
      <c r="F251" s="1">
        <v>450</v>
      </c>
      <c r="G251" s="1" t="s">
        <v>473</v>
      </c>
    </row>
    <row r="252" spans="1:7" x14ac:dyDescent="0.25">
      <c r="A252" s="3" t="s">
        <v>599</v>
      </c>
      <c r="B252" s="1" t="s">
        <v>18</v>
      </c>
      <c r="C252" s="1">
        <v>15</v>
      </c>
      <c r="D252" s="1" t="s">
        <v>159</v>
      </c>
      <c r="E252" s="2">
        <v>8</v>
      </c>
      <c r="F252" s="1">
        <v>3900</v>
      </c>
      <c r="G252" s="1" t="s">
        <v>600</v>
      </c>
    </row>
    <row r="253" spans="1:7" x14ac:dyDescent="0.25">
      <c r="A253" s="3" t="s">
        <v>601</v>
      </c>
      <c r="B253" s="1" t="s">
        <v>50</v>
      </c>
      <c r="C253" s="1">
        <v>11</v>
      </c>
      <c r="D253" s="1"/>
      <c r="E253" s="2">
        <v>0</v>
      </c>
      <c r="F253" s="1">
        <v>10</v>
      </c>
      <c r="G253" s="1" t="s">
        <v>602</v>
      </c>
    </row>
    <row r="254" spans="1:7" x14ac:dyDescent="0.25">
      <c r="A254" s="3" t="s">
        <v>603</v>
      </c>
      <c r="B254" s="1" t="s">
        <v>153</v>
      </c>
      <c r="C254" s="1">
        <v>18</v>
      </c>
      <c r="D254" s="1"/>
      <c r="E254" s="2">
        <v>14</v>
      </c>
      <c r="F254" s="1">
        <v>11500</v>
      </c>
      <c r="G254" s="1" t="s">
        <v>604</v>
      </c>
    </row>
    <row r="255" spans="1:7" x14ac:dyDescent="0.25">
      <c r="A255" s="3" t="s">
        <v>605</v>
      </c>
      <c r="B255" s="1" t="s">
        <v>342</v>
      </c>
      <c r="C255" s="1">
        <v>11</v>
      </c>
      <c r="D255" s="1" t="s">
        <v>507</v>
      </c>
      <c r="E255" s="4" t="s">
        <v>1144</v>
      </c>
      <c r="F255" s="1">
        <v>100</v>
      </c>
      <c r="G255" s="1" t="s">
        <v>344</v>
      </c>
    </row>
    <row r="256" spans="1:7" x14ac:dyDescent="0.25">
      <c r="A256" s="3" t="s">
        <v>606</v>
      </c>
      <c r="B256" s="1" t="s">
        <v>607</v>
      </c>
      <c r="C256" s="1">
        <v>13</v>
      </c>
      <c r="D256" s="1"/>
      <c r="E256" s="2">
        <v>1</v>
      </c>
      <c r="F256" s="1">
        <v>200</v>
      </c>
      <c r="G256" s="1" t="s">
        <v>608</v>
      </c>
    </row>
    <row r="257" spans="1:7" x14ac:dyDescent="0.25">
      <c r="A257" s="3" t="s">
        <v>609</v>
      </c>
      <c r="B257" s="1" t="s">
        <v>420</v>
      </c>
      <c r="C257" s="1">
        <v>12</v>
      </c>
      <c r="D257" s="1" t="s">
        <v>610</v>
      </c>
      <c r="E257" s="2">
        <v>2</v>
      </c>
      <c r="F257" s="1">
        <v>450</v>
      </c>
      <c r="G257" s="1" t="s">
        <v>611</v>
      </c>
    </row>
    <row r="258" spans="1:7" x14ac:dyDescent="0.25">
      <c r="A258" s="3" t="s">
        <v>612</v>
      </c>
      <c r="B258" s="1" t="s">
        <v>67</v>
      </c>
      <c r="C258" s="1">
        <v>14</v>
      </c>
      <c r="D258" s="1" t="s">
        <v>613</v>
      </c>
      <c r="E258" s="2">
        <v>6</v>
      </c>
      <c r="F258" s="1">
        <v>2300</v>
      </c>
      <c r="G258" s="1" t="s">
        <v>614</v>
      </c>
    </row>
    <row r="259" spans="1:7" x14ac:dyDescent="0.25">
      <c r="A259" s="3" t="s">
        <v>615</v>
      </c>
      <c r="B259" s="1" t="s">
        <v>221</v>
      </c>
      <c r="C259" s="1">
        <v>20</v>
      </c>
      <c r="D259" s="1" t="s">
        <v>616</v>
      </c>
      <c r="E259" s="2">
        <v>16</v>
      </c>
      <c r="F259" s="1">
        <v>15000</v>
      </c>
      <c r="G259" s="1" t="s">
        <v>617</v>
      </c>
    </row>
    <row r="260" spans="1:7" x14ac:dyDescent="0.25">
      <c r="A260" s="3" t="s">
        <v>618</v>
      </c>
      <c r="B260" s="1" t="s">
        <v>71</v>
      </c>
      <c r="C260" s="1">
        <v>12</v>
      </c>
      <c r="D260" s="1"/>
      <c r="E260" s="2">
        <v>0</v>
      </c>
      <c r="F260" s="1">
        <v>10</v>
      </c>
      <c r="G260" s="1" t="s">
        <v>602</v>
      </c>
    </row>
    <row r="261" spans="1:7" x14ac:dyDescent="0.25">
      <c r="A261" s="3" t="s">
        <v>619</v>
      </c>
      <c r="B261" s="1" t="s">
        <v>10</v>
      </c>
      <c r="C261" s="1">
        <v>12</v>
      </c>
      <c r="D261" s="1" t="s">
        <v>620</v>
      </c>
      <c r="E261" s="4" t="s">
        <v>1144</v>
      </c>
      <c r="F261" s="1">
        <v>100</v>
      </c>
      <c r="G261" s="1" t="s">
        <v>621</v>
      </c>
    </row>
    <row r="262" spans="1:7" x14ac:dyDescent="0.25">
      <c r="A262" s="3" t="s">
        <v>622</v>
      </c>
      <c r="B262" s="1" t="s">
        <v>10</v>
      </c>
      <c r="C262" s="1">
        <v>13</v>
      </c>
      <c r="D262" s="1" t="s">
        <v>11</v>
      </c>
      <c r="E262" s="4" t="s">
        <v>1143</v>
      </c>
      <c r="F262" s="1">
        <v>50</v>
      </c>
      <c r="G262" s="1" t="s">
        <v>623</v>
      </c>
    </row>
    <row r="263" spans="1:7" x14ac:dyDescent="0.25">
      <c r="A263" s="3" t="s">
        <v>624</v>
      </c>
      <c r="B263" s="1" t="s">
        <v>48</v>
      </c>
      <c r="C263" s="1">
        <v>12</v>
      </c>
      <c r="D263" s="1"/>
      <c r="E263" s="2">
        <v>3</v>
      </c>
      <c r="F263" s="1">
        <v>700</v>
      </c>
      <c r="G263" s="1" t="s">
        <v>602</v>
      </c>
    </row>
    <row r="264" spans="1:7" x14ac:dyDescent="0.25">
      <c r="A264" s="3" t="s">
        <v>625</v>
      </c>
      <c r="B264" s="1" t="s">
        <v>10</v>
      </c>
      <c r="C264" s="1">
        <v>18</v>
      </c>
      <c r="D264" s="1" t="s">
        <v>626</v>
      </c>
      <c r="E264" s="2">
        <v>3</v>
      </c>
      <c r="F264" s="1">
        <v>700</v>
      </c>
      <c r="G264" s="1" t="s">
        <v>555</v>
      </c>
    </row>
    <row r="265" spans="1:7" x14ac:dyDescent="0.25">
      <c r="A265" s="3" t="s">
        <v>627</v>
      </c>
      <c r="B265" s="1" t="s">
        <v>499</v>
      </c>
      <c r="C265" s="1">
        <v>12</v>
      </c>
      <c r="D265" s="1" t="s">
        <v>628</v>
      </c>
      <c r="E265" s="4" t="s">
        <v>1142</v>
      </c>
      <c r="F265" s="1">
        <v>25</v>
      </c>
      <c r="G265" s="1" t="s">
        <v>629</v>
      </c>
    </row>
    <row r="266" spans="1:7" ht="30" x14ac:dyDescent="0.25">
      <c r="A266" s="3" t="s">
        <v>630</v>
      </c>
      <c r="B266" s="1" t="s">
        <v>631</v>
      </c>
      <c r="C266" s="1">
        <v>18</v>
      </c>
      <c r="D266" s="1" t="s">
        <v>632</v>
      </c>
      <c r="E266" s="2">
        <v>23</v>
      </c>
      <c r="F266" s="1">
        <v>50000</v>
      </c>
      <c r="G266" s="1" t="s">
        <v>633</v>
      </c>
    </row>
    <row r="267" spans="1:7" x14ac:dyDescent="0.25">
      <c r="A267" s="3" t="s">
        <v>634</v>
      </c>
      <c r="B267" s="1" t="s">
        <v>10</v>
      </c>
      <c r="C267" s="1">
        <v>13</v>
      </c>
      <c r="D267" s="1" t="s">
        <v>620</v>
      </c>
      <c r="E267" s="4" t="s">
        <v>1143</v>
      </c>
      <c r="F267" s="1">
        <v>50</v>
      </c>
      <c r="G267" s="1" t="s">
        <v>635</v>
      </c>
    </row>
    <row r="268" spans="1:7" x14ac:dyDescent="0.25">
      <c r="A268" s="3" t="s">
        <v>636</v>
      </c>
      <c r="B268" s="1" t="s">
        <v>10</v>
      </c>
      <c r="C268" s="1">
        <v>13</v>
      </c>
      <c r="D268" s="1" t="s">
        <v>588</v>
      </c>
      <c r="E268" s="2">
        <v>6</v>
      </c>
      <c r="F268" s="1">
        <v>2300</v>
      </c>
      <c r="G268" s="1" t="s">
        <v>637</v>
      </c>
    </row>
    <row r="269" spans="1:7" x14ac:dyDescent="0.25">
      <c r="A269" s="3" t="s">
        <v>638</v>
      </c>
      <c r="B269" s="1" t="s">
        <v>10</v>
      </c>
      <c r="C269" s="1">
        <v>11</v>
      </c>
      <c r="D269" s="1" t="s">
        <v>90</v>
      </c>
      <c r="E269" s="2">
        <v>1</v>
      </c>
      <c r="F269" s="1">
        <v>200</v>
      </c>
      <c r="G269" s="1" t="s">
        <v>637</v>
      </c>
    </row>
    <row r="270" spans="1:7" x14ac:dyDescent="0.25">
      <c r="A270" s="3" t="s">
        <v>639</v>
      </c>
      <c r="B270" s="1" t="s">
        <v>38</v>
      </c>
      <c r="C270" s="1">
        <v>13</v>
      </c>
      <c r="D270" s="1" t="s">
        <v>640</v>
      </c>
      <c r="E270" s="2">
        <v>4</v>
      </c>
      <c r="F270" s="1">
        <v>1100</v>
      </c>
      <c r="G270" s="1" t="s">
        <v>641</v>
      </c>
    </row>
    <row r="271" spans="1:7" x14ac:dyDescent="0.25">
      <c r="A271" s="3" t="s">
        <v>642</v>
      </c>
      <c r="B271" s="1" t="s">
        <v>97</v>
      </c>
      <c r="C271" s="1">
        <v>7</v>
      </c>
      <c r="D271" s="1"/>
      <c r="E271" s="2">
        <v>0</v>
      </c>
      <c r="F271" s="1">
        <v>10</v>
      </c>
      <c r="G271" s="1" t="s">
        <v>608</v>
      </c>
    </row>
    <row r="272" spans="1:7" x14ac:dyDescent="0.25">
      <c r="A272" s="3" t="s">
        <v>643</v>
      </c>
      <c r="B272" s="1" t="s">
        <v>93</v>
      </c>
      <c r="C272" s="1">
        <v>17</v>
      </c>
      <c r="D272" s="1" t="s">
        <v>644</v>
      </c>
      <c r="E272" s="2">
        <v>21</v>
      </c>
      <c r="F272" s="1">
        <v>33000</v>
      </c>
      <c r="G272" s="1" t="s">
        <v>645</v>
      </c>
    </row>
    <row r="273" spans="1:7" x14ac:dyDescent="0.25">
      <c r="A273" s="3" t="s">
        <v>646</v>
      </c>
      <c r="B273" s="1" t="s">
        <v>35</v>
      </c>
      <c r="C273" s="1">
        <v>12</v>
      </c>
      <c r="D273" s="1"/>
      <c r="E273" s="2">
        <v>1</v>
      </c>
      <c r="F273" s="1">
        <v>200</v>
      </c>
      <c r="G273" s="1" t="s">
        <v>602</v>
      </c>
    </row>
    <row r="274" spans="1:7" x14ac:dyDescent="0.25">
      <c r="A274" s="3" t="s">
        <v>647</v>
      </c>
      <c r="B274" s="1" t="s">
        <v>74</v>
      </c>
      <c r="C274" s="1">
        <v>10</v>
      </c>
      <c r="D274" s="1"/>
      <c r="E274" s="2">
        <v>0</v>
      </c>
      <c r="F274" s="1">
        <v>10</v>
      </c>
      <c r="G274" s="1" t="s">
        <v>648</v>
      </c>
    </row>
    <row r="275" spans="1:7" x14ac:dyDescent="0.25">
      <c r="A275" s="3" t="s">
        <v>649</v>
      </c>
      <c r="B275" s="1" t="s">
        <v>10</v>
      </c>
      <c r="C275" s="1">
        <v>15</v>
      </c>
      <c r="D275" s="1" t="s">
        <v>650</v>
      </c>
      <c r="E275" s="2">
        <v>4</v>
      </c>
      <c r="F275" s="1">
        <v>1100</v>
      </c>
      <c r="G275" s="1" t="s">
        <v>651</v>
      </c>
    </row>
    <row r="276" spans="1:7" x14ac:dyDescent="0.25">
      <c r="A276" s="3" t="s">
        <v>652</v>
      </c>
      <c r="B276" s="1" t="s">
        <v>10</v>
      </c>
      <c r="C276" s="1">
        <v>15</v>
      </c>
      <c r="D276" s="1" t="s">
        <v>246</v>
      </c>
      <c r="E276" s="4" t="s">
        <v>1144</v>
      </c>
      <c r="F276" s="1">
        <v>100</v>
      </c>
      <c r="G276" s="1" t="s">
        <v>653</v>
      </c>
    </row>
    <row r="277" spans="1:7" x14ac:dyDescent="0.25">
      <c r="A277" s="3" t="s">
        <v>654</v>
      </c>
      <c r="B277" s="1" t="s">
        <v>10</v>
      </c>
      <c r="C277" s="1">
        <v>13</v>
      </c>
      <c r="D277" s="1" t="s">
        <v>275</v>
      </c>
      <c r="E277" s="2">
        <v>2</v>
      </c>
      <c r="F277" s="1">
        <v>450</v>
      </c>
      <c r="G277" s="1" t="s">
        <v>651</v>
      </c>
    </row>
    <row r="278" spans="1:7" x14ac:dyDescent="0.25">
      <c r="A278" s="3" t="s">
        <v>655</v>
      </c>
      <c r="B278" s="1" t="s">
        <v>10</v>
      </c>
      <c r="C278" s="1">
        <v>12</v>
      </c>
      <c r="D278" s="1" t="s">
        <v>656</v>
      </c>
      <c r="E278" s="2">
        <v>6</v>
      </c>
      <c r="F278" s="1">
        <v>2300</v>
      </c>
      <c r="G278" s="1" t="s">
        <v>555</v>
      </c>
    </row>
    <row r="279" spans="1:7" x14ac:dyDescent="0.25">
      <c r="A279" s="3" t="s">
        <v>657</v>
      </c>
      <c r="B279" s="1" t="s">
        <v>342</v>
      </c>
      <c r="C279" s="1">
        <v>11</v>
      </c>
      <c r="D279" s="1" t="s">
        <v>658</v>
      </c>
      <c r="E279" s="4" t="s">
        <v>1144</v>
      </c>
      <c r="F279" s="1">
        <v>100</v>
      </c>
      <c r="G279" s="1" t="s">
        <v>659</v>
      </c>
    </row>
    <row r="280" spans="1:7" x14ac:dyDescent="0.25">
      <c r="A280" s="3" t="s">
        <v>660</v>
      </c>
      <c r="B280" s="1" t="s">
        <v>342</v>
      </c>
      <c r="C280" s="1">
        <v>14</v>
      </c>
      <c r="D280" s="1" t="s">
        <v>661</v>
      </c>
      <c r="E280" s="4" t="s">
        <v>1144</v>
      </c>
      <c r="F280" s="1">
        <v>100</v>
      </c>
      <c r="G280" s="1" t="s">
        <v>662</v>
      </c>
    </row>
    <row r="281" spans="1:7" x14ac:dyDescent="0.25">
      <c r="A281" s="3" t="s">
        <v>663</v>
      </c>
      <c r="B281" s="1" t="s">
        <v>48</v>
      </c>
      <c r="C281" s="1">
        <v>13</v>
      </c>
      <c r="D281" s="1"/>
      <c r="E281" s="2">
        <v>6</v>
      </c>
      <c r="F281" s="1">
        <v>2300</v>
      </c>
      <c r="G281" s="1" t="s">
        <v>648</v>
      </c>
    </row>
    <row r="282" spans="1:7" x14ac:dyDescent="0.25">
      <c r="A282" s="3" t="s">
        <v>664</v>
      </c>
      <c r="B282" s="1" t="s">
        <v>317</v>
      </c>
      <c r="C282" s="1">
        <v>9</v>
      </c>
      <c r="D282" s="1" t="s">
        <v>665</v>
      </c>
      <c r="E282" s="4" t="s">
        <v>1142</v>
      </c>
      <c r="F282" s="1">
        <v>25</v>
      </c>
      <c r="G282" s="1" t="s">
        <v>578</v>
      </c>
    </row>
    <row r="283" spans="1:7" x14ac:dyDescent="0.25">
      <c r="A283" s="3" t="s">
        <v>666</v>
      </c>
      <c r="B283" s="1" t="s">
        <v>76</v>
      </c>
      <c r="C283" s="1">
        <v>15</v>
      </c>
      <c r="D283" s="1">
        <v>100</v>
      </c>
      <c r="E283" s="2"/>
      <c r="F283" s="1"/>
      <c r="G283" s="1" t="s">
        <v>78</v>
      </c>
    </row>
    <row r="284" spans="1:7" x14ac:dyDescent="0.25">
      <c r="A284" s="3" t="s">
        <v>667</v>
      </c>
      <c r="B284" s="1" t="s">
        <v>38</v>
      </c>
      <c r="C284" s="1">
        <v>14</v>
      </c>
      <c r="D284" s="1" t="s">
        <v>668</v>
      </c>
      <c r="E284" s="2">
        <v>3</v>
      </c>
      <c r="F284" s="1">
        <v>700</v>
      </c>
      <c r="G284" s="1" t="s">
        <v>669</v>
      </c>
    </row>
    <row r="285" spans="1:7" x14ac:dyDescent="0.25">
      <c r="A285" s="3" t="s">
        <v>670</v>
      </c>
      <c r="B285" s="1" t="s">
        <v>31</v>
      </c>
      <c r="C285" s="1">
        <v>17</v>
      </c>
      <c r="D285" s="1" t="s">
        <v>671</v>
      </c>
      <c r="E285" s="2">
        <v>11</v>
      </c>
      <c r="F285" s="1">
        <v>7200</v>
      </c>
      <c r="G285" s="1" t="s">
        <v>672</v>
      </c>
    </row>
    <row r="286" spans="1:7" x14ac:dyDescent="0.25">
      <c r="A286" s="3" t="s">
        <v>673</v>
      </c>
      <c r="B286" s="1" t="s">
        <v>674</v>
      </c>
      <c r="C286" s="1">
        <v>18</v>
      </c>
      <c r="D286" s="1" t="s">
        <v>675</v>
      </c>
      <c r="E286" s="2">
        <v>16</v>
      </c>
      <c r="F286" s="1">
        <v>15000</v>
      </c>
      <c r="G286" s="1" t="s">
        <v>676</v>
      </c>
    </row>
    <row r="287" spans="1:7" x14ac:dyDescent="0.25">
      <c r="A287" s="3" t="s">
        <v>677</v>
      </c>
      <c r="B287" s="1" t="s">
        <v>50</v>
      </c>
      <c r="C287" s="1">
        <v>12</v>
      </c>
      <c r="D287" s="1"/>
      <c r="E287" s="4" t="s">
        <v>1142</v>
      </c>
      <c r="F287" s="1">
        <v>25</v>
      </c>
      <c r="G287" s="1" t="s">
        <v>648</v>
      </c>
    </row>
    <row r="288" spans="1:7" x14ac:dyDescent="0.25">
      <c r="A288" s="3" t="s">
        <v>678</v>
      </c>
      <c r="B288" s="1" t="s">
        <v>105</v>
      </c>
      <c r="C288" s="1">
        <v>15</v>
      </c>
      <c r="D288" s="1" t="s">
        <v>679</v>
      </c>
      <c r="E288" s="2">
        <v>6</v>
      </c>
      <c r="F288" s="1">
        <v>2300</v>
      </c>
      <c r="G288" s="1" t="s">
        <v>680</v>
      </c>
    </row>
    <row r="289" spans="1:7" x14ac:dyDescent="0.25">
      <c r="A289" s="3" t="s">
        <v>681</v>
      </c>
      <c r="B289" s="1" t="s">
        <v>10</v>
      </c>
      <c r="C289" s="1">
        <v>11</v>
      </c>
      <c r="D289" s="1" t="s">
        <v>87</v>
      </c>
      <c r="E289" s="4" t="s">
        <v>1142</v>
      </c>
      <c r="F289" s="1">
        <v>25</v>
      </c>
      <c r="G289" s="1" t="s">
        <v>682</v>
      </c>
    </row>
    <row r="290" spans="1:7" x14ac:dyDescent="0.25">
      <c r="A290" s="3" t="s">
        <v>683</v>
      </c>
      <c r="B290" s="1" t="s">
        <v>38</v>
      </c>
      <c r="C290" s="1">
        <v>13</v>
      </c>
      <c r="D290" s="1" t="s">
        <v>684</v>
      </c>
      <c r="E290" s="2">
        <v>2</v>
      </c>
      <c r="F290" s="1">
        <v>450</v>
      </c>
      <c r="G290" s="1" t="s">
        <v>685</v>
      </c>
    </row>
    <row r="291" spans="1:7" x14ac:dyDescent="0.25">
      <c r="A291" s="3" t="s">
        <v>686</v>
      </c>
      <c r="B291" s="1" t="s">
        <v>53</v>
      </c>
      <c r="C291" s="1">
        <v>18</v>
      </c>
      <c r="D291" s="1"/>
      <c r="E291" s="2">
        <v>5</v>
      </c>
      <c r="F291" s="1">
        <v>1800</v>
      </c>
      <c r="G291" s="1" t="s">
        <v>54</v>
      </c>
    </row>
    <row r="292" spans="1:7" ht="30" x14ac:dyDescent="0.25">
      <c r="A292" s="3" t="s">
        <v>687</v>
      </c>
      <c r="B292" s="1" t="s">
        <v>688</v>
      </c>
      <c r="C292" s="1">
        <v>12</v>
      </c>
      <c r="D292" s="1" t="s">
        <v>689</v>
      </c>
      <c r="E292" s="2">
        <v>2</v>
      </c>
      <c r="F292" s="1">
        <v>450</v>
      </c>
      <c r="G292" s="1" t="s">
        <v>690</v>
      </c>
    </row>
    <row r="293" spans="1:7" x14ac:dyDescent="0.25">
      <c r="A293" s="3" t="s">
        <v>691</v>
      </c>
      <c r="B293" s="1" t="s">
        <v>418</v>
      </c>
      <c r="C293" s="1">
        <v>15</v>
      </c>
      <c r="D293" s="1" t="s">
        <v>330</v>
      </c>
      <c r="E293" s="2">
        <v>8</v>
      </c>
      <c r="F293" s="1">
        <v>3900</v>
      </c>
      <c r="G293" s="1" t="s">
        <v>692</v>
      </c>
    </row>
    <row r="294" spans="1:7" x14ac:dyDescent="0.25">
      <c r="A294" s="3" t="s">
        <v>693</v>
      </c>
      <c r="B294" s="1" t="s">
        <v>418</v>
      </c>
      <c r="C294" s="1">
        <v>15</v>
      </c>
      <c r="D294" s="1" t="s">
        <v>330</v>
      </c>
      <c r="E294" s="2">
        <v>7</v>
      </c>
      <c r="F294" s="1">
        <v>2900</v>
      </c>
      <c r="G294" s="1" t="s">
        <v>692</v>
      </c>
    </row>
    <row r="295" spans="1:7" x14ac:dyDescent="0.25">
      <c r="A295" s="3" t="s">
        <v>694</v>
      </c>
      <c r="B295" s="1" t="s">
        <v>38</v>
      </c>
      <c r="C295" s="1">
        <v>14</v>
      </c>
      <c r="D295" s="1" t="s">
        <v>695</v>
      </c>
      <c r="E295" s="2">
        <v>3</v>
      </c>
      <c r="F295" s="1">
        <v>700</v>
      </c>
      <c r="G295" s="1" t="s">
        <v>696</v>
      </c>
    </row>
    <row r="296" spans="1:7" x14ac:dyDescent="0.25">
      <c r="A296" s="3" t="s">
        <v>697</v>
      </c>
      <c r="B296" s="1" t="s">
        <v>117</v>
      </c>
      <c r="C296" s="1">
        <v>12</v>
      </c>
      <c r="D296" s="1" t="s">
        <v>698</v>
      </c>
      <c r="E296" s="2">
        <v>2</v>
      </c>
      <c r="F296" s="1">
        <v>450</v>
      </c>
      <c r="G296" s="1" t="s">
        <v>699</v>
      </c>
    </row>
    <row r="297" spans="1:7" x14ac:dyDescent="0.25">
      <c r="A297" s="3" t="s">
        <v>700</v>
      </c>
      <c r="B297" s="1" t="s">
        <v>41</v>
      </c>
      <c r="C297" s="1">
        <v>15</v>
      </c>
      <c r="D297" s="1" t="s">
        <v>701</v>
      </c>
      <c r="E297" s="4" t="s">
        <v>1142</v>
      </c>
      <c r="F297" s="1">
        <v>25</v>
      </c>
      <c r="G297" s="1" t="s">
        <v>702</v>
      </c>
    </row>
    <row r="298" spans="1:7" x14ac:dyDescent="0.25">
      <c r="A298" s="3" t="s">
        <v>703</v>
      </c>
      <c r="B298" s="1" t="s">
        <v>342</v>
      </c>
      <c r="C298" s="1">
        <v>11</v>
      </c>
      <c r="D298" s="1" t="s">
        <v>704</v>
      </c>
      <c r="E298" s="4" t="s">
        <v>1143</v>
      </c>
      <c r="F298" s="1">
        <v>50</v>
      </c>
      <c r="G298" s="1" t="s">
        <v>659</v>
      </c>
    </row>
    <row r="299" spans="1:7" x14ac:dyDescent="0.25">
      <c r="A299" s="3" t="s">
        <v>705</v>
      </c>
      <c r="B299" s="1" t="s">
        <v>50</v>
      </c>
      <c r="C299" s="1">
        <v>10</v>
      </c>
      <c r="D299" s="1"/>
      <c r="E299" s="4" t="s">
        <v>1142</v>
      </c>
      <c r="F299" s="1">
        <v>25</v>
      </c>
      <c r="G299" s="1" t="s">
        <v>706</v>
      </c>
    </row>
    <row r="300" spans="1:7" x14ac:dyDescent="0.25">
      <c r="A300" s="3" t="s">
        <v>707</v>
      </c>
      <c r="B300" s="1" t="s">
        <v>93</v>
      </c>
      <c r="C300" s="1">
        <v>11</v>
      </c>
      <c r="D300" s="1" t="s">
        <v>689</v>
      </c>
      <c r="E300" s="2">
        <v>3</v>
      </c>
      <c r="F300" s="1">
        <v>700</v>
      </c>
      <c r="G300" s="1" t="s">
        <v>708</v>
      </c>
    </row>
    <row r="301" spans="1:7" x14ac:dyDescent="0.25">
      <c r="A301" s="3" t="s">
        <v>709</v>
      </c>
      <c r="B301" s="1" t="s">
        <v>93</v>
      </c>
      <c r="C301" s="1">
        <v>17</v>
      </c>
      <c r="D301" s="1" t="s">
        <v>588</v>
      </c>
      <c r="E301" s="2">
        <v>15</v>
      </c>
      <c r="F301" s="1">
        <v>13000</v>
      </c>
      <c r="G301" s="1" t="s">
        <v>710</v>
      </c>
    </row>
    <row r="302" spans="1:7" x14ac:dyDescent="0.25">
      <c r="A302" s="3" t="s">
        <v>711</v>
      </c>
      <c r="B302" s="1" t="s">
        <v>712</v>
      </c>
      <c r="C302" s="1">
        <v>12</v>
      </c>
      <c r="D302" s="1" t="s">
        <v>246</v>
      </c>
      <c r="E302" s="4" t="s">
        <v>1144</v>
      </c>
      <c r="F302" s="1">
        <v>100</v>
      </c>
      <c r="G302" s="1" t="s">
        <v>713</v>
      </c>
    </row>
    <row r="303" spans="1:7" x14ac:dyDescent="0.25">
      <c r="A303" s="3" t="s">
        <v>714</v>
      </c>
      <c r="B303" s="1" t="s">
        <v>414</v>
      </c>
      <c r="C303" s="1">
        <v>13</v>
      </c>
      <c r="D303" s="1" t="s">
        <v>715</v>
      </c>
      <c r="E303" s="2">
        <v>2</v>
      </c>
      <c r="F303" s="1">
        <v>450</v>
      </c>
      <c r="G303" s="1" t="s">
        <v>713</v>
      </c>
    </row>
    <row r="304" spans="1:7" x14ac:dyDescent="0.25">
      <c r="A304" s="3" t="s">
        <v>716</v>
      </c>
      <c r="B304" s="1" t="s">
        <v>62</v>
      </c>
      <c r="C304" s="1">
        <v>10</v>
      </c>
      <c r="D304" s="1" t="s">
        <v>393</v>
      </c>
      <c r="E304" s="2">
        <v>0</v>
      </c>
      <c r="F304" s="1">
        <v>10</v>
      </c>
      <c r="G304" s="1" t="s">
        <v>717</v>
      </c>
    </row>
    <row r="305" spans="1:7" x14ac:dyDescent="0.25">
      <c r="A305" s="3" t="s">
        <v>718</v>
      </c>
      <c r="B305" s="1" t="s">
        <v>100</v>
      </c>
      <c r="C305" s="1">
        <v>18</v>
      </c>
      <c r="D305" s="1" t="s">
        <v>719</v>
      </c>
      <c r="E305" s="2">
        <v>13</v>
      </c>
      <c r="F305" s="1">
        <v>10000</v>
      </c>
      <c r="G305" s="1" t="s">
        <v>720</v>
      </c>
    </row>
    <row r="306" spans="1:7" x14ac:dyDescent="0.25">
      <c r="A306" s="3" t="s">
        <v>721</v>
      </c>
      <c r="B306" s="1" t="s">
        <v>722</v>
      </c>
      <c r="C306" s="1">
        <v>12</v>
      </c>
      <c r="D306" s="1" t="s">
        <v>190</v>
      </c>
      <c r="E306" s="4" t="s">
        <v>1143</v>
      </c>
      <c r="F306" s="1">
        <v>50</v>
      </c>
      <c r="G306" s="1" t="s">
        <v>723</v>
      </c>
    </row>
    <row r="307" spans="1:7" x14ac:dyDescent="0.25">
      <c r="A307" s="3" t="s">
        <v>724</v>
      </c>
      <c r="B307" s="1" t="s">
        <v>53</v>
      </c>
      <c r="C307" s="1">
        <v>17</v>
      </c>
      <c r="D307" s="1" t="s">
        <v>493</v>
      </c>
      <c r="E307" s="2">
        <v>5</v>
      </c>
      <c r="F307" s="1">
        <v>1800</v>
      </c>
      <c r="G307" s="1" t="s">
        <v>725</v>
      </c>
    </row>
    <row r="308" spans="1:7" x14ac:dyDescent="0.25">
      <c r="A308" s="3" t="s">
        <v>726</v>
      </c>
      <c r="B308" s="1" t="s">
        <v>100</v>
      </c>
      <c r="C308" s="1">
        <v>13</v>
      </c>
      <c r="D308" s="1" t="s">
        <v>668</v>
      </c>
      <c r="E308" s="2">
        <v>3</v>
      </c>
      <c r="F308" s="1">
        <v>700</v>
      </c>
      <c r="G308" s="1" t="s">
        <v>727</v>
      </c>
    </row>
    <row r="309" spans="1:7" x14ac:dyDescent="0.25">
      <c r="A309" s="3" t="s">
        <v>728</v>
      </c>
      <c r="B309" s="1" t="s">
        <v>10</v>
      </c>
      <c r="C309" s="1">
        <v>15</v>
      </c>
      <c r="D309" s="1" t="s">
        <v>22</v>
      </c>
      <c r="E309" s="4" t="s">
        <v>1142</v>
      </c>
      <c r="F309" s="1">
        <v>25</v>
      </c>
      <c r="G309" s="1" t="s">
        <v>729</v>
      </c>
    </row>
    <row r="310" spans="1:7" x14ac:dyDescent="0.25">
      <c r="A310" s="3" t="s">
        <v>730</v>
      </c>
      <c r="B310" s="1" t="s">
        <v>418</v>
      </c>
      <c r="C310" s="1">
        <v>15</v>
      </c>
      <c r="D310" s="1" t="s">
        <v>731</v>
      </c>
      <c r="E310" s="2">
        <v>2</v>
      </c>
      <c r="F310" s="1">
        <v>450</v>
      </c>
      <c r="G310" s="1" t="s">
        <v>732</v>
      </c>
    </row>
    <row r="311" spans="1:7" x14ac:dyDescent="0.25">
      <c r="A311" s="3" t="s">
        <v>733</v>
      </c>
      <c r="B311" s="1" t="s">
        <v>100</v>
      </c>
      <c r="C311" s="1">
        <v>18</v>
      </c>
      <c r="D311" s="1"/>
      <c r="E311" s="2">
        <v>9</v>
      </c>
      <c r="F311" s="1">
        <v>5000</v>
      </c>
      <c r="G311" s="1" t="s">
        <v>734</v>
      </c>
    </row>
    <row r="312" spans="1:7" x14ac:dyDescent="0.25">
      <c r="A312" s="3" t="s">
        <v>735</v>
      </c>
      <c r="B312" s="1" t="s">
        <v>135</v>
      </c>
      <c r="C312" s="1">
        <v>8</v>
      </c>
      <c r="D312" s="1" t="s">
        <v>684</v>
      </c>
      <c r="E312" s="2">
        <v>2</v>
      </c>
      <c r="F312" s="1">
        <v>450</v>
      </c>
      <c r="G312" s="1" t="s">
        <v>527</v>
      </c>
    </row>
    <row r="313" spans="1:7" x14ac:dyDescent="0.25">
      <c r="A313" s="3" t="s">
        <v>736</v>
      </c>
      <c r="B313" s="1" t="s">
        <v>71</v>
      </c>
      <c r="C313" s="1">
        <v>12</v>
      </c>
      <c r="D313" s="1"/>
      <c r="E313" s="2">
        <v>0</v>
      </c>
      <c r="F313" s="1">
        <v>10</v>
      </c>
      <c r="G313" s="1" t="s">
        <v>706</v>
      </c>
    </row>
    <row r="314" spans="1:7" x14ac:dyDescent="0.25">
      <c r="A314" s="3" t="s">
        <v>737</v>
      </c>
      <c r="B314" s="1" t="s">
        <v>562</v>
      </c>
      <c r="C314" s="1">
        <v>11</v>
      </c>
      <c r="D314" s="1" t="s">
        <v>477</v>
      </c>
      <c r="E314" s="2">
        <v>2</v>
      </c>
      <c r="F314" s="1">
        <v>450</v>
      </c>
      <c r="G314" s="1" t="s">
        <v>738</v>
      </c>
    </row>
    <row r="315" spans="1:7" x14ac:dyDescent="0.25">
      <c r="A315" s="3" t="s">
        <v>739</v>
      </c>
      <c r="B315" s="1" t="s">
        <v>117</v>
      </c>
      <c r="C315" s="1">
        <v>8</v>
      </c>
      <c r="D315" s="1" t="s">
        <v>740</v>
      </c>
      <c r="E315" s="2">
        <v>2</v>
      </c>
      <c r="F315" s="1">
        <v>450</v>
      </c>
      <c r="G315" s="1" t="s">
        <v>119</v>
      </c>
    </row>
    <row r="316" spans="1:7" x14ac:dyDescent="0.25">
      <c r="A316" s="3" t="s">
        <v>741</v>
      </c>
      <c r="B316" s="1" t="s">
        <v>562</v>
      </c>
      <c r="C316" s="1">
        <v>16</v>
      </c>
      <c r="D316" s="1" t="s">
        <v>168</v>
      </c>
      <c r="E316" s="2">
        <v>7</v>
      </c>
      <c r="F316" s="1">
        <v>2900</v>
      </c>
      <c r="G316" s="1" t="s">
        <v>742</v>
      </c>
    </row>
    <row r="317" spans="1:7" x14ac:dyDescent="0.25">
      <c r="A317" s="3" t="s">
        <v>743</v>
      </c>
      <c r="B317" s="1" t="s">
        <v>744</v>
      </c>
      <c r="C317" s="1">
        <v>13</v>
      </c>
      <c r="D317" s="1" t="s">
        <v>745</v>
      </c>
      <c r="E317" s="4" t="s">
        <v>1144</v>
      </c>
      <c r="F317" s="1">
        <v>100</v>
      </c>
      <c r="G317" s="1" t="s">
        <v>746</v>
      </c>
    </row>
    <row r="318" spans="1:7" x14ac:dyDescent="0.25">
      <c r="A318" s="3" t="s">
        <v>747</v>
      </c>
      <c r="B318" s="1" t="s">
        <v>748</v>
      </c>
      <c r="C318" s="1" t="s">
        <v>26</v>
      </c>
      <c r="D318" s="1">
        <v>60</v>
      </c>
      <c r="E318" s="2"/>
      <c r="F318" s="1">
        <v>1100</v>
      </c>
      <c r="G318" s="1" t="s">
        <v>749</v>
      </c>
    </row>
    <row r="319" spans="1:7" x14ac:dyDescent="0.25">
      <c r="A319" s="3" t="s">
        <v>750</v>
      </c>
      <c r="B319" s="1" t="s">
        <v>748</v>
      </c>
      <c r="C319" s="1" t="s">
        <v>26</v>
      </c>
      <c r="D319" s="1">
        <v>45</v>
      </c>
      <c r="E319" s="2"/>
      <c r="F319" s="1">
        <v>450</v>
      </c>
      <c r="G319" s="1" t="s">
        <v>749</v>
      </c>
    </row>
    <row r="320" spans="1:7" x14ac:dyDescent="0.25">
      <c r="A320" s="3" t="s">
        <v>751</v>
      </c>
      <c r="B320" s="1" t="s">
        <v>744</v>
      </c>
      <c r="C320" s="1">
        <v>16</v>
      </c>
      <c r="D320" s="1" t="s">
        <v>731</v>
      </c>
      <c r="E320" s="2">
        <v>2</v>
      </c>
      <c r="F320" s="1">
        <v>450</v>
      </c>
      <c r="G320" s="1" t="s">
        <v>752</v>
      </c>
    </row>
    <row r="321" spans="1:7" x14ac:dyDescent="0.25">
      <c r="A321" s="3" t="s">
        <v>753</v>
      </c>
      <c r="B321" s="1" t="s">
        <v>748</v>
      </c>
      <c r="C321" s="1" t="s">
        <v>26</v>
      </c>
      <c r="D321" s="1">
        <v>30</v>
      </c>
      <c r="E321" s="2"/>
      <c r="F321" s="1">
        <v>450</v>
      </c>
      <c r="G321" s="1" t="s">
        <v>749</v>
      </c>
    </row>
    <row r="322" spans="1:7" x14ac:dyDescent="0.25">
      <c r="A322" s="3" t="s">
        <v>754</v>
      </c>
      <c r="B322" s="1" t="s">
        <v>748</v>
      </c>
      <c r="C322" s="1" t="s">
        <v>26</v>
      </c>
      <c r="D322" s="1">
        <v>30</v>
      </c>
      <c r="E322" s="2"/>
      <c r="F322" s="1">
        <v>100</v>
      </c>
      <c r="G322" s="1" t="s">
        <v>749</v>
      </c>
    </row>
    <row r="323" spans="1:7" x14ac:dyDescent="0.25">
      <c r="A323" s="3" t="s">
        <v>755</v>
      </c>
      <c r="B323" s="1" t="s">
        <v>748</v>
      </c>
      <c r="C323" s="1" t="s">
        <v>26</v>
      </c>
      <c r="D323" s="1">
        <v>52</v>
      </c>
      <c r="E323" s="2"/>
      <c r="F323" s="1">
        <v>700</v>
      </c>
      <c r="G323" s="1" t="s">
        <v>749</v>
      </c>
    </row>
    <row r="324" spans="1:7" x14ac:dyDescent="0.25">
      <c r="A324" s="3" t="s">
        <v>756</v>
      </c>
      <c r="B324" s="1" t="s">
        <v>744</v>
      </c>
      <c r="C324" s="1">
        <v>16</v>
      </c>
      <c r="D324" s="1" t="s">
        <v>389</v>
      </c>
      <c r="E324" s="2">
        <v>4</v>
      </c>
      <c r="F324" s="1">
        <v>1100</v>
      </c>
      <c r="G324" s="1" t="s">
        <v>746</v>
      </c>
    </row>
    <row r="325" spans="1:7" x14ac:dyDescent="0.25">
      <c r="A325" s="3" t="s">
        <v>757</v>
      </c>
      <c r="B325" s="1" t="s">
        <v>744</v>
      </c>
      <c r="C325" s="1">
        <v>18</v>
      </c>
      <c r="D325" s="1" t="s">
        <v>758</v>
      </c>
      <c r="E325" s="2">
        <v>2</v>
      </c>
      <c r="F325" s="1">
        <v>450</v>
      </c>
      <c r="G325" s="1" t="s">
        <v>752</v>
      </c>
    </row>
    <row r="326" spans="1:7" x14ac:dyDescent="0.25">
      <c r="A326" s="3" t="s">
        <v>759</v>
      </c>
      <c r="B326" s="1" t="s">
        <v>14</v>
      </c>
      <c r="C326" s="1">
        <v>14</v>
      </c>
      <c r="D326" s="1" t="s">
        <v>519</v>
      </c>
      <c r="E326" s="2">
        <v>5</v>
      </c>
      <c r="F326" s="1">
        <v>1800</v>
      </c>
      <c r="G326" s="1" t="s">
        <v>760</v>
      </c>
    </row>
    <row r="327" spans="1:7" x14ac:dyDescent="0.25">
      <c r="A327" s="3" t="s">
        <v>761</v>
      </c>
      <c r="B327" s="1" t="s">
        <v>74</v>
      </c>
      <c r="C327" s="1">
        <v>11</v>
      </c>
      <c r="D327" s="1"/>
      <c r="E327" s="2">
        <v>0</v>
      </c>
      <c r="F327" s="1">
        <v>10</v>
      </c>
      <c r="G327" s="1" t="s">
        <v>706</v>
      </c>
    </row>
    <row r="328" spans="1:7" x14ac:dyDescent="0.25">
      <c r="A328" s="3" t="s">
        <v>762</v>
      </c>
      <c r="B328" s="1" t="s">
        <v>38</v>
      </c>
      <c r="C328" s="1">
        <v>13</v>
      </c>
      <c r="D328" s="1" t="s">
        <v>477</v>
      </c>
      <c r="E328" s="2">
        <v>3</v>
      </c>
      <c r="F328" s="1">
        <v>700</v>
      </c>
      <c r="G328" s="1" t="s">
        <v>763</v>
      </c>
    </row>
    <row r="329" spans="1:7" x14ac:dyDescent="0.25">
      <c r="A329" s="3" t="s">
        <v>764</v>
      </c>
      <c r="B329" s="1" t="s">
        <v>50</v>
      </c>
      <c r="C329" s="1">
        <v>12</v>
      </c>
      <c r="D329" s="1"/>
      <c r="E329" s="4" t="s">
        <v>1143</v>
      </c>
      <c r="F329" s="1">
        <v>50</v>
      </c>
      <c r="G329" s="1" t="s">
        <v>706</v>
      </c>
    </row>
    <row r="330" spans="1:7" x14ac:dyDescent="0.25">
      <c r="A330" s="3" t="s">
        <v>765</v>
      </c>
      <c r="B330" s="1" t="s">
        <v>766</v>
      </c>
      <c r="C330" s="1">
        <v>12</v>
      </c>
      <c r="D330" s="1" t="s">
        <v>477</v>
      </c>
      <c r="E330" s="2">
        <v>2</v>
      </c>
      <c r="F330" s="1">
        <v>450</v>
      </c>
      <c r="G330" s="1" t="s">
        <v>767</v>
      </c>
    </row>
    <row r="331" spans="1:7" x14ac:dyDescent="0.25">
      <c r="A331" s="3" t="s">
        <v>768</v>
      </c>
      <c r="B331" s="1" t="s">
        <v>221</v>
      </c>
      <c r="C331" s="1">
        <v>16</v>
      </c>
      <c r="D331" s="1" t="s">
        <v>769</v>
      </c>
      <c r="E331" s="2">
        <v>2</v>
      </c>
      <c r="F331" s="1">
        <v>450</v>
      </c>
      <c r="G331" s="1" t="s">
        <v>770</v>
      </c>
    </row>
    <row r="332" spans="1:7" x14ac:dyDescent="0.25">
      <c r="A332" s="3" t="s">
        <v>771</v>
      </c>
      <c r="B332" s="1" t="s">
        <v>105</v>
      </c>
      <c r="C332" s="1">
        <v>13</v>
      </c>
      <c r="D332" s="1" t="s">
        <v>125</v>
      </c>
      <c r="E332" s="2">
        <v>2</v>
      </c>
      <c r="F332" s="1">
        <v>450</v>
      </c>
      <c r="G332" s="1" t="s">
        <v>772</v>
      </c>
    </row>
    <row r="333" spans="1:7" x14ac:dyDescent="0.25">
      <c r="A333" s="3" t="s">
        <v>773</v>
      </c>
      <c r="B333" s="1" t="s">
        <v>38</v>
      </c>
      <c r="C333" s="1">
        <v>13</v>
      </c>
      <c r="D333" s="1"/>
      <c r="E333" s="2">
        <v>3</v>
      </c>
      <c r="F333" s="1">
        <v>700</v>
      </c>
      <c r="G333" s="1" t="s">
        <v>774</v>
      </c>
    </row>
    <row r="334" spans="1:7" x14ac:dyDescent="0.25">
      <c r="A334" s="3" t="s">
        <v>775</v>
      </c>
      <c r="B334" s="1" t="s">
        <v>105</v>
      </c>
      <c r="C334" s="1">
        <v>15</v>
      </c>
      <c r="D334" s="1" t="s">
        <v>526</v>
      </c>
      <c r="E334" s="4" t="s">
        <v>1144</v>
      </c>
      <c r="F334" s="1">
        <v>100</v>
      </c>
      <c r="G334" s="1" t="s">
        <v>776</v>
      </c>
    </row>
    <row r="335" spans="1:7" x14ac:dyDescent="0.25">
      <c r="A335" s="3" t="s">
        <v>777</v>
      </c>
      <c r="B335" s="1" t="s">
        <v>153</v>
      </c>
      <c r="C335" s="1">
        <v>19</v>
      </c>
      <c r="D335" s="1"/>
      <c r="E335" s="2">
        <v>20</v>
      </c>
      <c r="F335" s="1">
        <v>25000</v>
      </c>
      <c r="G335" s="1" t="s">
        <v>778</v>
      </c>
    </row>
    <row r="336" spans="1:7" x14ac:dyDescent="0.25">
      <c r="A336" s="3" t="s">
        <v>779</v>
      </c>
      <c r="B336" s="1" t="s">
        <v>780</v>
      </c>
      <c r="C336" s="1">
        <v>15</v>
      </c>
      <c r="D336" s="1" t="s">
        <v>781</v>
      </c>
      <c r="E336" s="4" t="s">
        <v>1143</v>
      </c>
      <c r="F336" s="1">
        <v>50</v>
      </c>
      <c r="G336" s="1" t="s">
        <v>782</v>
      </c>
    </row>
    <row r="337" spans="1:7" x14ac:dyDescent="0.25">
      <c r="A337" s="3" t="s">
        <v>783</v>
      </c>
      <c r="B337" s="1" t="s">
        <v>766</v>
      </c>
      <c r="C337" s="1">
        <v>19</v>
      </c>
      <c r="D337" s="1" t="s">
        <v>784</v>
      </c>
      <c r="E337" s="2">
        <v>16</v>
      </c>
      <c r="F337" s="1">
        <v>15000</v>
      </c>
      <c r="G337" s="1" t="s">
        <v>785</v>
      </c>
    </row>
    <row r="338" spans="1:7" x14ac:dyDescent="0.25">
      <c r="A338" s="3" t="s">
        <v>786</v>
      </c>
      <c r="B338" s="1" t="s">
        <v>35</v>
      </c>
      <c r="C338" s="1">
        <v>13</v>
      </c>
      <c r="D338" s="1"/>
      <c r="E338" s="2">
        <v>2</v>
      </c>
      <c r="F338" s="1">
        <v>450</v>
      </c>
      <c r="G338" s="1" t="s">
        <v>787</v>
      </c>
    </row>
    <row r="339" spans="1:7" x14ac:dyDescent="0.25">
      <c r="A339" s="3" t="s">
        <v>788</v>
      </c>
      <c r="B339" s="1" t="s">
        <v>74</v>
      </c>
      <c r="C339" s="1">
        <v>13</v>
      </c>
      <c r="D339" s="1"/>
      <c r="E339" s="4" t="s">
        <v>1142</v>
      </c>
      <c r="F339" s="1">
        <v>25</v>
      </c>
      <c r="G339" s="1" t="s">
        <v>774</v>
      </c>
    </row>
    <row r="340" spans="1:7" x14ac:dyDescent="0.25">
      <c r="A340" s="3" t="s">
        <v>789</v>
      </c>
      <c r="B340" s="1" t="s">
        <v>35</v>
      </c>
      <c r="C340" s="1">
        <v>12</v>
      </c>
      <c r="D340" s="1"/>
      <c r="E340" s="2">
        <v>2</v>
      </c>
      <c r="F340" s="1">
        <v>450</v>
      </c>
      <c r="G340" s="1" t="s">
        <v>774</v>
      </c>
    </row>
    <row r="341" spans="1:7" x14ac:dyDescent="0.25">
      <c r="A341" s="3" t="s">
        <v>790</v>
      </c>
      <c r="B341" s="1" t="s">
        <v>50</v>
      </c>
      <c r="C341" s="1">
        <v>10</v>
      </c>
      <c r="D341" s="1"/>
      <c r="E341" s="4" t="s">
        <v>1142</v>
      </c>
      <c r="F341" s="1">
        <v>25</v>
      </c>
      <c r="G341" s="1" t="s">
        <v>791</v>
      </c>
    </row>
    <row r="342" spans="1:7" x14ac:dyDescent="0.25">
      <c r="A342" s="3" t="s">
        <v>792</v>
      </c>
      <c r="B342" s="1" t="s">
        <v>10</v>
      </c>
      <c r="C342" s="1">
        <v>13</v>
      </c>
      <c r="D342" s="1" t="s">
        <v>793</v>
      </c>
      <c r="E342" s="2">
        <v>2</v>
      </c>
      <c r="F342" s="1">
        <v>450</v>
      </c>
      <c r="G342" s="1" t="s">
        <v>729</v>
      </c>
    </row>
    <row r="343" spans="1:7" x14ac:dyDescent="0.25">
      <c r="A343" s="3" t="s">
        <v>794</v>
      </c>
      <c r="B343" s="1" t="s">
        <v>368</v>
      </c>
      <c r="C343" s="1">
        <v>13</v>
      </c>
      <c r="D343" s="1" t="s">
        <v>795</v>
      </c>
      <c r="E343" s="4" t="s">
        <v>1143</v>
      </c>
      <c r="F343" s="1">
        <v>50</v>
      </c>
      <c r="G343" s="1" t="s">
        <v>796</v>
      </c>
    </row>
    <row r="344" spans="1:7" x14ac:dyDescent="0.25">
      <c r="A344" s="3" t="s">
        <v>797</v>
      </c>
      <c r="B344" s="1" t="s">
        <v>50</v>
      </c>
      <c r="C344" s="1">
        <v>13</v>
      </c>
      <c r="D344" s="1"/>
      <c r="E344" s="4" t="s">
        <v>1143</v>
      </c>
      <c r="F344" s="1">
        <v>50</v>
      </c>
      <c r="G344" s="1" t="s">
        <v>787</v>
      </c>
    </row>
    <row r="345" spans="1:7" x14ac:dyDescent="0.25">
      <c r="A345" s="3" t="s">
        <v>798</v>
      </c>
      <c r="B345" s="1" t="s">
        <v>799</v>
      </c>
      <c r="C345" s="1">
        <v>18</v>
      </c>
      <c r="D345" s="1" t="s">
        <v>800</v>
      </c>
      <c r="E345" s="2">
        <v>15</v>
      </c>
      <c r="F345" s="1">
        <v>13000</v>
      </c>
      <c r="G345" s="1" t="s">
        <v>801</v>
      </c>
    </row>
    <row r="346" spans="1:7" x14ac:dyDescent="0.25">
      <c r="A346" s="3" t="s">
        <v>802</v>
      </c>
      <c r="B346" s="1" t="s">
        <v>41</v>
      </c>
      <c r="C346" s="1">
        <v>16</v>
      </c>
      <c r="D346" s="1" t="s">
        <v>246</v>
      </c>
      <c r="E346" s="2">
        <v>1</v>
      </c>
      <c r="F346" s="1">
        <v>200</v>
      </c>
      <c r="G346" s="1" t="s">
        <v>770</v>
      </c>
    </row>
    <row r="347" spans="1:7" x14ac:dyDescent="0.25">
      <c r="A347" s="3" t="s">
        <v>803</v>
      </c>
      <c r="B347" s="1" t="s">
        <v>10</v>
      </c>
      <c r="C347" s="1">
        <v>13</v>
      </c>
      <c r="D347" s="1" t="s">
        <v>731</v>
      </c>
      <c r="E347" s="2">
        <v>2</v>
      </c>
      <c r="F347" s="1">
        <v>450</v>
      </c>
      <c r="G347" s="1" t="s">
        <v>804</v>
      </c>
    </row>
    <row r="348" spans="1:7" x14ac:dyDescent="0.25">
      <c r="A348" s="3" t="s">
        <v>805</v>
      </c>
      <c r="B348" s="1" t="s">
        <v>712</v>
      </c>
      <c r="C348" s="1">
        <v>13</v>
      </c>
      <c r="D348" s="1" t="s">
        <v>731</v>
      </c>
      <c r="E348" s="2">
        <v>1</v>
      </c>
      <c r="F348" s="1">
        <v>200</v>
      </c>
      <c r="G348" s="1" t="s">
        <v>717</v>
      </c>
    </row>
    <row r="349" spans="1:7" x14ac:dyDescent="0.25">
      <c r="A349" s="3" t="s">
        <v>806</v>
      </c>
      <c r="B349" s="1" t="s">
        <v>807</v>
      </c>
      <c r="C349" s="1">
        <v>13</v>
      </c>
      <c r="D349" s="1" t="s">
        <v>808</v>
      </c>
      <c r="E349" s="2">
        <v>1</v>
      </c>
      <c r="F349" s="1">
        <v>200</v>
      </c>
      <c r="G349" s="1" t="s">
        <v>809</v>
      </c>
    </row>
    <row r="350" spans="1:7" x14ac:dyDescent="0.25">
      <c r="A350" s="3" t="s">
        <v>810</v>
      </c>
      <c r="B350" s="1" t="s">
        <v>74</v>
      </c>
      <c r="C350" s="1">
        <v>13</v>
      </c>
      <c r="D350" s="1"/>
      <c r="E350" s="2">
        <v>0</v>
      </c>
      <c r="F350" s="1">
        <v>10</v>
      </c>
      <c r="G350" s="1" t="s">
        <v>791</v>
      </c>
    </row>
    <row r="351" spans="1:7" x14ac:dyDescent="0.25">
      <c r="A351" s="3" t="s">
        <v>811</v>
      </c>
      <c r="B351" s="1" t="s">
        <v>53</v>
      </c>
      <c r="C351" s="1">
        <v>16</v>
      </c>
      <c r="D351" s="1" t="s">
        <v>812</v>
      </c>
      <c r="E351" s="2">
        <v>13</v>
      </c>
      <c r="F351" s="1">
        <v>10000</v>
      </c>
      <c r="G351" s="1" t="s">
        <v>813</v>
      </c>
    </row>
    <row r="352" spans="1:7" x14ac:dyDescent="0.25">
      <c r="A352" s="3" t="s">
        <v>814</v>
      </c>
      <c r="B352" s="1" t="s">
        <v>76</v>
      </c>
      <c r="C352" s="1">
        <v>15</v>
      </c>
      <c r="D352" s="1">
        <v>100</v>
      </c>
      <c r="E352" s="2"/>
      <c r="F352" s="1"/>
      <c r="G352" s="1" t="s">
        <v>78</v>
      </c>
    </row>
    <row r="353" spans="1:7" x14ac:dyDescent="0.25">
      <c r="A353" s="3" t="s">
        <v>815</v>
      </c>
      <c r="B353" s="1" t="s">
        <v>74</v>
      </c>
      <c r="C353" s="1">
        <v>10</v>
      </c>
      <c r="D353" s="1" t="s">
        <v>781</v>
      </c>
      <c r="E353" s="2">
        <v>0</v>
      </c>
      <c r="F353" s="1">
        <v>10</v>
      </c>
      <c r="G353" s="1" t="s">
        <v>791</v>
      </c>
    </row>
    <row r="354" spans="1:7" x14ac:dyDescent="0.25">
      <c r="A354" s="3" t="s">
        <v>816</v>
      </c>
      <c r="B354" s="1" t="s">
        <v>74</v>
      </c>
      <c r="C354" s="1">
        <v>12</v>
      </c>
      <c r="D354" s="1"/>
      <c r="E354" s="2">
        <v>0</v>
      </c>
      <c r="F354" s="1">
        <v>10</v>
      </c>
      <c r="G354" s="1" t="s">
        <v>791</v>
      </c>
    </row>
    <row r="355" spans="1:7" x14ac:dyDescent="0.25">
      <c r="A355" s="3" t="s">
        <v>817</v>
      </c>
      <c r="B355" s="1" t="s">
        <v>124</v>
      </c>
      <c r="C355" s="1">
        <v>17</v>
      </c>
      <c r="D355" s="1" t="s">
        <v>818</v>
      </c>
      <c r="E355" s="2">
        <v>4</v>
      </c>
      <c r="F355" s="1">
        <v>1100</v>
      </c>
      <c r="G355" s="1" t="s">
        <v>819</v>
      </c>
    </row>
    <row r="356" spans="1:7" x14ac:dyDescent="0.25">
      <c r="A356" s="3" t="s">
        <v>820</v>
      </c>
      <c r="B356" s="1" t="s">
        <v>25</v>
      </c>
      <c r="C356" s="1">
        <v>19</v>
      </c>
      <c r="D356" s="1"/>
      <c r="E356" s="2">
        <v>17</v>
      </c>
      <c r="F356" s="1">
        <v>18000</v>
      </c>
      <c r="G356" s="1" t="s">
        <v>821</v>
      </c>
    </row>
    <row r="357" spans="1:7" x14ac:dyDescent="0.25">
      <c r="A357" s="3" t="s">
        <v>822</v>
      </c>
      <c r="B357" s="1" t="s">
        <v>129</v>
      </c>
      <c r="C357" s="1">
        <v>22</v>
      </c>
      <c r="D357" s="1"/>
      <c r="E357" s="2">
        <v>24</v>
      </c>
      <c r="F357" s="1">
        <v>62000</v>
      </c>
      <c r="G357" s="1" t="s">
        <v>823</v>
      </c>
    </row>
    <row r="358" spans="1:7" x14ac:dyDescent="0.25">
      <c r="A358" s="3" t="s">
        <v>824</v>
      </c>
      <c r="B358" s="1" t="s">
        <v>124</v>
      </c>
      <c r="C358" s="1">
        <v>17</v>
      </c>
      <c r="D358" s="1"/>
      <c r="E358" s="2">
        <v>4</v>
      </c>
      <c r="F358" s="1">
        <v>1100</v>
      </c>
      <c r="G358" s="1" t="s">
        <v>821</v>
      </c>
    </row>
    <row r="359" spans="1:7" x14ac:dyDescent="0.25">
      <c r="A359" s="3" t="s">
        <v>825</v>
      </c>
      <c r="B359" s="1" t="s">
        <v>133</v>
      </c>
      <c r="C359" s="1">
        <v>18</v>
      </c>
      <c r="D359" s="1"/>
      <c r="E359" s="2">
        <v>10</v>
      </c>
      <c r="F359" s="1">
        <v>5900</v>
      </c>
      <c r="G359" s="1" t="s">
        <v>821</v>
      </c>
    </row>
    <row r="360" spans="1:7" x14ac:dyDescent="0.25">
      <c r="A360" s="3" t="s">
        <v>826</v>
      </c>
      <c r="B360" s="1" t="s">
        <v>14</v>
      </c>
      <c r="C360" s="1">
        <v>14</v>
      </c>
      <c r="D360" s="1">
        <v>93</v>
      </c>
      <c r="E360" s="2">
        <v>5</v>
      </c>
      <c r="F360" s="1">
        <v>1800</v>
      </c>
      <c r="G360" s="1" t="s">
        <v>149</v>
      </c>
    </row>
    <row r="361" spans="1:7" x14ac:dyDescent="0.25">
      <c r="A361" s="3" t="s">
        <v>827</v>
      </c>
      <c r="B361" s="1" t="s">
        <v>50</v>
      </c>
      <c r="C361" s="1">
        <v>12</v>
      </c>
      <c r="D361" s="1"/>
      <c r="E361" s="4" t="s">
        <v>1144</v>
      </c>
      <c r="F361" s="1">
        <v>100</v>
      </c>
      <c r="G361" s="1" t="s">
        <v>828</v>
      </c>
    </row>
    <row r="362" spans="1:7" x14ac:dyDescent="0.25">
      <c r="A362" s="3" t="s">
        <v>829</v>
      </c>
      <c r="B362" s="1" t="s">
        <v>18</v>
      </c>
      <c r="C362" s="1">
        <v>17</v>
      </c>
      <c r="D362" s="1" t="s">
        <v>830</v>
      </c>
      <c r="E362" s="2">
        <v>11</v>
      </c>
      <c r="F362" s="1">
        <v>7200</v>
      </c>
      <c r="G362" s="1" t="s">
        <v>831</v>
      </c>
    </row>
    <row r="363" spans="1:7" x14ac:dyDescent="0.25">
      <c r="A363" s="3" t="s">
        <v>832</v>
      </c>
      <c r="B363" s="1" t="s">
        <v>93</v>
      </c>
      <c r="C363" s="1">
        <v>13</v>
      </c>
      <c r="D363" s="1" t="s">
        <v>833</v>
      </c>
      <c r="E363" s="2">
        <v>5</v>
      </c>
      <c r="F363" s="1">
        <v>1800</v>
      </c>
      <c r="G363" s="1" t="s">
        <v>834</v>
      </c>
    </row>
    <row r="364" spans="1:7" x14ac:dyDescent="0.25">
      <c r="A364" s="3" t="s">
        <v>835</v>
      </c>
      <c r="B364" s="1" t="s">
        <v>35</v>
      </c>
      <c r="C364" s="1">
        <v>11</v>
      </c>
      <c r="D364" s="1"/>
      <c r="E364" s="2">
        <v>2</v>
      </c>
      <c r="F364" s="1">
        <v>450</v>
      </c>
      <c r="G364" s="1" t="s">
        <v>828</v>
      </c>
    </row>
    <row r="365" spans="1:7" x14ac:dyDescent="0.25">
      <c r="A365" s="3" t="s">
        <v>836</v>
      </c>
      <c r="B365" s="1" t="s">
        <v>35</v>
      </c>
      <c r="C365" s="1">
        <v>10</v>
      </c>
      <c r="D365" s="1"/>
      <c r="E365" s="4" t="s">
        <v>1143</v>
      </c>
      <c r="F365" s="1">
        <v>50</v>
      </c>
      <c r="G365" s="1" t="s">
        <v>828</v>
      </c>
    </row>
    <row r="366" spans="1:7" x14ac:dyDescent="0.25">
      <c r="A366" s="3" t="s">
        <v>837</v>
      </c>
      <c r="B366" s="1" t="s">
        <v>799</v>
      </c>
      <c r="C366" s="1">
        <v>15</v>
      </c>
      <c r="D366" s="1" t="s">
        <v>838</v>
      </c>
      <c r="E366" s="2">
        <v>11</v>
      </c>
      <c r="F366" s="1">
        <v>7200</v>
      </c>
      <c r="G366" s="1" t="s">
        <v>839</v>
      </c>
    </row>
    <row r="367" spans="1:7" x14ac:dyDescent="0.25">
      <c r="A367" s="3" t="s">
        <v>840</v>
      </c>
      <c r="B367" s="1" t="s">
        <v>38</v>
      </c>
      <c r="C367" s="1">
        <v>20</v>
      </c>
      <c r="D367" s="1" t="s">
        <v>841</v>
      </c>
      <c r="E367" s="2">
        <v>5</v>
      </c>
      <c r="F367" s="1">
        <v>1800</v>
      </c>
      <c r="G367" s="1" t="s">
        <v>842</v>
      </c>
    </row>
    <row r="368" spans="1:7" x14ac:dyDescent="0.25">
      <c r="A368" s="3" t="s">
        <v>843</v>
      </c>
      <c r="B368" s="1" t="s">
        <v>221</v>
      </c>
      <c r="C368" s="1">
        <v>12</v>
      </c>
      <c r="D368" s="1" t="s">
        <v>844</v>
      </c>
      <c r="E368" s="2">
        <v>2</v>
      </c>
      <c r="F368" s="1">
        <v>450</v>
      </c>
      <c r="G368" s="1" t="s">
        <v>398</v>
      </c>
    </row>
    <row r="369" spans="1:7" x14ac:dyDescent="0.25">
      <c r="A369" s="3" t="s">
        <v>845</v>
      </c>
      <c r="B369" s="1" t="s">
        <v>846</v>
      </c>
      <c r="C369" s="1">
        <v>14</v>
      </c>
      <c r="D369" s="1" t="s">
        <v>275</v>
      </c>
      <c r="E369" s="4" t="s">
        <v>1144</v>
      </c>
      <c r="F369" s="1">
        <v>100</v>
      </c>
      <c r="G369" s="1" t="s">
        <v>847</v>
      </c>
    </row>
    <row r="370" spans="1:7" x14ac:dyDescent="0.25">
      <c r="A370" s="3" t="s">
        <v>848</v>
      </c>
      <c r="B370" s="1" t="s">
        <v>35</v>
      </c>
      <c r="C370" s="1">
        <v>12</v>
      </c>
      <c r="D370" s="1"/>
      <c r="E370" s="2">
        <v>2</v>
      </c>
      <c r="F370" s="1">
        <v>450</v>
      </c>
      <c r="G370" s="1" t="s">
        <v>828</v>
      </c>
    </row>
    <row r="371" spans="1:7" x14ac:dyDescent="0.25">
      <c r="A371" s="3" t="s">
        <v>849</v>
      </c>
      <c r="B371" s="1" t="s">
        <v>10</v>
      </c>
      <c r="C371" s="1">
        <v>12</v>
      </c>
      <c r="D371" s="1" t="s">
        <v>246</v>
      </c>
      <c r="E371" s="4" t="s">
        <v>1144</v>
      </c>
      <c r="F371" s="1">
        <v>100</v>
      </c>
      <c r="G371" s="1" t="s">
        <v>850</v>
      </c>
    </row>
    <row r="372" spans="1:7" x14ac:dyDescent="0.25">
      <c r="A372" s="3" t="s">
        <v>851</v>
      </c>
      <c r="B372" s="1" t="s">
        <v>852</v>
      </c>
      <c r="C372" s="1">
        <v>16</v>
      </c>
      <c r="D372" s="1" t="s">
        <v>853</v>
      </c>
      <c r="E372" s="2">
        <v>5</v>
      </c>
      <c r="F372" s="1">
        <v>1800</v>
      </c>
      <c r="G372" s="1" t="s">
        <v>854</v>
      </c>
    </row>
    <row r="373" spans="1:7" x14ac:dyDescent="0.25">
      <c r="A373" s="3" t="s">
        <v>855</v>
      </c>
      <c r="B373" s="1" t="s">
        <v>10</v>
      </c>
      <c r="C373" s="1">
        <v>12</v>
      </c>
      <c r="D373" s="1" t="s">
        <v>125</v>
      </c>
      <c r="E373" s="2">
        <v>2</v>
      </c>
      <c r="F373" s="1">
        <v>450</v>
      </c>
      <c r="G373" s="1" t="s">
        <v>854</v>
      </c>
    </row>
    <row r="374" spans="1:7" x14ac:dyDescent="0.25">
      <c r="A374" s="3" t="s">
        <v>856</v>
      </c>
      <c r="B374" s="1" t="s">
        <v>31</v>
      </c>
      <c r="C374" s="1">
        <v>15</v>
      </c>
      <c r="D374" s="1" t="s">
        <v>32</v>
      </c>
      <c r="E374" s="2">
        <v>5</v>
      </c>
      <c r="F374" s="1">
        <v>1800</v>
      </c>
      <c r="G374" s="1" t="s">
        <v>857</v>
      </c>
    </row>
    <row r="375" spans="1:7" x14ac:dyDescent="0.25">
      <c r="A375" s="3" t="s">
        <v>858</v>
      </c>
      <c r="B375" s="1" t="s">
        <v>139</v>
      </c>
      <c r="C375" s="1">
        <v>14</v>
      </c>
      <c r="D375" s="1" t="s">
        <v>859</v>
      </c>
      <c r="E375" s="4" t="s">
        <v>1144</v>
      </c>
      <c r="F375" s="1">
        <v>100</v>
      </c>
      <c r="G375" s="1" t="s">
        <v>860</v>
      </c>
    </row>
    <row r="376" spans="1:7" x14ac:dyDescent="0.25">
      <c r="A376" s="3" t="s">
        <v>861</v>
      </c>
      <c r="B376" s="1" t="s">
        <v>41</v>
      </c>
      <c r="C376" s="1">
        <v>11</v>
      </c>
      <c r="D376" s="1" t="s">
        <v>429</v>
      </c>
      <c r="E376" s="2">
        <v>1</v>
      </c>
      <c r="F376" s="1">
        <v>200</v>
      </c>
      <c r="G376" s="1" t="s">
        <v>862</v>
      </c>
    </row>
    <row r="377" spans="1:7" x14ac:dyDescent="0.25">
      <c r="A377" s="3" t="s">
        <v>863</v>
      </c>
      <c r="B377" s="1" t="s">
        <v>74</v>
      </c>
      <c r="C377" s="1">
        <v>11</v>
      </c>
      <c r="D377" s="1"/>
      <c r="E377" s="2">
        <v>0</v>
      </c>
      <c r="F377" s="1">
        <v>10</v>
      </c>
      <c r="G377" s="1" t="s">
        <v>864</v>
      </c>
    </row>
    <row r="378" spans="1:7" x14ac:dyDescent="0.25">
      <c r="A378" s="3" t="s">
        <v>865</v>
      </c>
      <c r="B378" s="1" t="s">
        <v>10</v>
      </c>
      <c r="C378" s="1">
        <v>13</v>
      </c>
      <c r="D378" s="1" t="s">
        <v>866</v>
      </c>
      <c r="E378" s="4" t="s">
        <v>1144</v>
      </c>
      <c r="F378" s="1">
        <v>100</v>
      </c>
      <c r="G378" s="1" t="s">
        <v>867</v>
      </c>
    </row>
    <row r="379" spans="1:7" x14ac:dyDescent="0.25">
      <c r="A379" s="3" t="s">
        <v>868</v>
      </c>
      <c r="B379" s="1" t="s">
        <v>139</v>
      </c>
      <c r="C379" s="1">
        <v>14</v>
      </c>
      <c r="D379" s="1" t="s">
        <v>411</v>
      </c>
      <c r="E379" s="2">
        <v>2</v>
      </c>
      <c r="F379" s="1">
        <v>450</v>
      </c>
      <c r="G379" s="1" t="s">
        <v>869</v>
      </c>
    </row>
    <row r="380" spans="1:7" x14ac:dyDescent="0.25">
      <c r="A380" s="3" t="s">
        <v>870</v>
      </c>
      <c r="B380" s="1" t="s">
        <v>74</v>
      </c>
      <c r="C380" s="1">
        <v>11</v>
      </c>
      <c r="D380" s="1"/>
      <c r="E380" s="2">
        <v>0</v>
      </c>
      <c r="F380" s="1">
        <v>10</v>
      </c>
      <c r="G380" s="1" t="s">
        <v>864</v>
      </c>
    </row>
    <row r="381" spans="1:7" x14ac:dyDescent="0.25">
      <c r="A381" s="3" t="s">
        <v>871</v>
      </c>
      <c r="B381" s="1" t="s">
        <v>93</v>
      </c>
      <c r="C381" s="1">
        <v>12</v>
      </c>
      <c r="D381" s="1" t="s">
        <v>872</v>
      </c>
      <c r="E381" s="4" t="s">
        <v>1144</v>
      </c>
      <c r="F381" s="1">
        <v>100</v>
      </c>
      <c r="G381" s="1" t="s">
        <v>873</v>
      </c>
    </row>
    <row r="382" spans="1:7" x14ac:dyDescent="0.25">
      <c r="A382" s="3" t="s">
        <v>874</v>
      </c>
      <c r="B382" s="1" t="s">
        <v>53</v>
      </c>
      <c r="C382" s="1">
        <v>13</v>
      </c>
      <c r="D382" s="1">
        <v>66</v>
      </c>
      <c r="E382" s="2">
        <v>4</v>
      </c>
      <c r="F382" s="1">
        <v>1100</v>
      </c>
      <c r="G382" s="1" t="s">
        <v>875</v>
      </c>
    </row>
    <row r="383" spans="1:7" x14ac:dyDescent="0.25">
      <c r="A383" s="3" t="s">
        <v>876</v>
      </c>
      <c r="B383" s="1" t="s">
        <v>877</v>
      </c>
      <c r="C383" s="1">
        <v>18</v>
      </c>
      <c r="D383" s="1"/>
      <c r="E383" s="2">
        <v>13</v>
      </c>
      <c r="F383" s="1">
        <v>10000</v>
      </c>
      <c r="G383" s="1" t="s">
        <v>878</v>
      </c>
    </row>
    <row r="384" spans="1:7" x14ac:dyDescent="0.25">
      <c r="A384" s="3" t="s">
        <v>879</v>
      </c>
      <c r="B384" s="1" t="s">
        <v>414</v>
      </c>
      <c r="C384" s="1">
        <v>15</v>
      </c>
      <c r="D384" s="1" t="s">
        <v>880</v>
      </c>
      <c r="E384" s="2">
        <v>5</v>
      </c>
      <c r="F384" s="1">
        <v>1800</v>
      </c>
      <c r="G384" s="1" t="s">
        <v>881</v>
      </c>
    </row>
    <row r="385" spans="1:7" x14ac:dyDescent="0.25">
      <c r="A385" s="3" t="s">
        <v>882</v>
      </c>
      <c r="B385" s="1" t="s">
        <v>221</v>
      </c>
      <c r="C385" s="1">
        <v>17</v>
      </c>
      <c r="D385" s="1" t="s">
        <v>179</v>
      </c>
      <c r="E385" s="2">
        <v>7</v>
      </c>
      <c r="F385" s="1">
        <v>2900</v>
      </c>
      <c r="G385" s="1" t="s">
        <v>883</v>
      </c>
    </row>
    <row r="386" spans="1:7" x14ac:dyDescent="0.25">
      <c r="A386" s="3" t="s">
        <v>884</v>
      </c>
      <c r="B386" s="1" t="s">
        <v>712</v>
      </c>
      <c r="C386" s="1">
        <v>5</v>
      </c>
      <c r="D386" s="1" t="s">
        <v>11</v>
      </c>
      <c r="E386" s="4">
        <v>0</v>
      </c>
      <c r="F386" s="1">
        <v>10</v>
      </c>
      <c r="G386" s="1" t="s">
        <v>416</v>
      </c>
    </row>
    <row r="387" spans="1:7" x14ac:dyDescent="0.25">
      <c r="A387" s="3" t="s">
        <v>885</v>
      </c>
      <c r="B387" s="1" t="s">
        <v>886</v>
      </c>
      <c r="C387" s="1">
        <v>15</v>
      </c>
      <c r="D387" s="1">
        <v>200</v>
      </c>
      <c r="E387" s="2"/>
      <c r="F387" s="1"/>
      <c r="G387" s="1" t="s">
        <v>887</v>
      </c>
    </row>
    <row r="388" spans="1:7" x14ac:dyDescent="0.25">
      <c r="A388" s="3" t="s">
        <v>888</v>
      </c>
      <c r="B388" s="1" t="s">
        <v>25</v>
      </c>
      <c r="C388" s="1">
        <v>19</v>
      </c>
      <c r="D388" s="1" t="s">
        <v>889</v>
      </c>
      <c r="E388" s="2">
        <v>16</v>
      </c>
      <c r="F388" s="1">
        <v>15000</v>
      </c>
      <c r="G388" s="1" t="s">
        <v>890</v>
      </c>
    </row>
    <row r="389" spans="1:7" x14ac:dyDescent="0.25">
      <c r="A389" s="3" t="s">
        <v>891</v>
      </c>
      <c r="B389" s="1" t="s">
        <v>129</v>
      </c>
      <c r="C389" s="1">
        <v>22</v>
      </c>
      <c r="D389" s="1" t="s">
        <v>892</v>
      </c>
      <c r="E389" s="2">
        <v>23</v>
      </c>
      <c r="F389" s="1">
        <v>50000</v>
      </c>
      <c r="G389" s="1" t="s">
        <v>893</v>
      </c>
    </row>
    <row r="390" spans="1:7" x14ac:dyDescent="0.25">
      <c r="A390" s="3" t="s">
        <v>894</v>
      </c>
      <c r="B390" s="1" t="s">
        <v>124</v>
      </c>
      <c r="C390" s="1">
        <v>17</v>
      </c>
      <c r="D390" s="1" t="s">
        <v>731</v>
      </c>
      <c r="E390" s="2">
        <v>2</v>
      </c>
      <c r="F390" s="1">
        <v>450</v>
      </c>
      <c r="G390" s="1" t="s">
        <v>895</v>
      </c>
    </row>
    <row r="391" spans="1:7" x14ac:dyDescent="0.25">
      <c r="A391" s="3" t="s">
        <v>896</v>
      </c>
      <c r="B391" s="1" t="s">
        <v>133</v>
      </c>
      <c r="C391" s="1">
        <v>18</v>
      </c>
      <c r="D391" s="1" t="s">
        <v>897</v>
      </c>
      <c r="E391" s="2">
        <v>9</v>
      </c>
      <c r="F391" s="1">
        <v>5000</v>
      </c>
      <c r="G391" s="1" t="s">
        <v>895</v>
      </c>
    </row>
    <row r="392" spans="1:7" x14ac:dyDescent="0.25">
      <c r="A392" s="3" t="s">
        <v>898</v>
      </c>
      <c r="B392" s="1" t="s">
        <v>93</v>
      </c>
      <c r="C392" s="1">
        <v>13</v>
      </c>
      <c r="D392" s="1" t="s">
        <v>899</v>
      </c>
      <c r="E392" s="4" t="s">
        <v>1143</v>
      </c>
      <c r="F392" s="1">
        <v>50</v>
      </c>
      <c r="G392" s="1" t="s">
        <v>900</v>
      </c>
    </row>
    <row r="393" spans="1:7" x14ac:dyDescent="0.25">
      <c r="A393" s="3" t="s">
        <v>901</v>
      </c>
      <c r="B393" s="1" t="s">
        <v>420</v>
      </c>
      <c r="C393" s="1">
        <v>12</v>
      </c>
      <c r="D393" s="1">
        <v>10</v>
      </c>
      <c r="E393" s="4" t="s">
        <v>1142</v>
      </c>
      <c r="F393" s="1">
        <v>25</v>
      </c>
      <c r="G393" s="1" t="s">
        <v>149</v>
      </c>
    </row>
    <row r="394" spans="1:7" x14ac:dyDescent="0.25">
      <c r="A394" s="3" t="s">
        <v>902</v>
      </c>
      <c r="B394" s="1" t="s">
        <v>342</v>
      </c>
      <c r="C394" s="1">
        <v>12</v>
      </c>
      <c r="D394" s="1" t="s">
        <v>658</v>
      </c>
      <c r="E394" s="4" t="s">
        <v>1143</v>
      </c>
      <c r="F394" s="1">
        <v>50</v>
      </c>
      <c r="G394" s="1" t="s">
        <v>903</v>
      </c>
    </row>
    <row r="395" spans="1:7" x14ac:dyDescent="0.25">
      <c r="A395" s="3" t="s">
        <v>904</v>
      </c>
      <c r="B395" s="1" t="s">
        <v>766</v>
      </c>
      <c r="C395" s="1">
        <v>21</v>
      </c>
      <c r="D395" s="1" t="s">
        <v>905</v>
      </c>
      <c r="E395" s="2">
        <v>21</v>
      </c>
      <c r="F395" s="1">
        <v>33000</v>
      </c>
      <c r="G395" s="1" t="s">
        <v>906</v>
      </c>
    </row>
    <row r="396" spans="1:7" x14ac:dyDescent="0.25">
      <c r="A396" s="3" t="s">
        <v>907</v>
      </c>
      <c r="B396" s="1" t="s">
        <v>418</v>
      </c>
      <c r="C396" s="1">
        <v>14</v>
      </c>
      <c r="D396" s="1" t="s">
        <v>68</v>
      </c>
      <c r="E396" s="2">
        <v>3</v>
      </c>
      <c r="F396" s="1">
        <v>700</v>
      </c>
      <c r="G396" s="1" t="s">
        <v>908</v>
      </c>
    </row>
    <row r="397" spans="1:7" x14ac:dyDescent="0.25">
      <c r="A397" s="3" t="s">
        <v>909</v>
      </c>
      <c r="B397" s="1" t="s">
        <v>910</v>
      </c>
      <c r="C397" s="1">
        <v>12</v>
      </c>
      <c r="D397" s="1">
        <v>22</v>
      </c>
      <c r="E397" s="2">
        <v>1</v>
      </c>
      <c r="F397" s="1">
        <v>200</v>
      </c>
      <c r="G397" s="1" t="s">
        <v>911</v>
      </c>
    </row>
    <row r="398" spans="1:7" x14ac:dyDescent="0.25">
      <c r="A398" s="3" t="s">
        <v>912</v>
      </c>
      <c r="B398" s="1" t="s">
        <v>74</v>
      </c>
      <c r="C398" s="1">
        <v>12</v>
      </c>
      <c r="D398" s="1"/>
      <c r="E398" s="2">
        <v>0</v>
      </c>
      <c r="F398" s="1">
        <v>10</v>
      </c>
      <c r="G398" s="1" t="s">
        <v>864</v>
      </c>
    </row>
    <row r="399" spans="1:7" x14ac:dyDescent="0.25">
      <c r="A399" s="3" t="s">
        <v>913</v>
      </c>
      <c r="B399" s="1" t="s">
        <v>914</v>
      </c>
      <c r="C399" s="1">
        <v>15</v>
      </c>
      <c r="D399" s="1"/>
      <c r="E399" s="2">
        <v>2</v>
      </c>
      <c r="F399" s="1">
        <v>450</v>
      </c>
      <c r="G399" s="1" t="s">
        <v>915</v>
      </c>
    </row>
    <row r="400" spans="1:7" x14ac:dyDescent="0.25">
      <c r="A400" s="3" t="s">
        <v>916</v>
      </c>
      <c r="B400" s="1" t="s">
        <v>38</v>
      </c>
      <c r="C400" s="1">
        <v>15</v>
      </c>
      <c r="D400" s="1" t="s">
        <v>292</v>
      </c>
      <c r="E400" s="2">
        <v>8</v>
      </c>
      <c r="F400" s="1">
        <v>3900</v>
      </c>
      <c r="G400" s="1" t="s">
        <v>558</v>
      </c>
    </row>
    <row r="401" spans="1:7" x14ac:dyDescent="0.25">
      <c r="A401" s="3" t="s">
        <v>917</v>
      </c>
      <c r="B401" s="1" t="s">
        <v>780</v>
      </c>
      <c r="C401" s="1">
        <v>15</v>
      </c>
      <c r="D401" s="1"/>
      <c r="E401" s="4" t="s">
        <v>1143</v>
      </c>
      <c r="F401" s="1">
        <v>50</v>
      </c>
      <c r="G401" s="1" t="s">
        <v>918</v>
      </c>
    </row>
    <row r="402" spans="1:7" x14ac:dyDescent="0.25">
      <c r="A402" s="3" t="s">
        <v>919</v>
      </c>
      <c r="B402" s="1" t="s">
        <v>10</v>
      </c>
      <c r="C402" s="1">
        <v>12</v>
      </c>
      <c r="D402" s="1" t="s">
        <v>547</v>
      </c>
      <c r="E402" s="2">
        <v>1</v>
      </c>
      <c r="F402" s="1">
        <v>200</v>
      </c>
      <c r="G402" s="1" t="s">
        <v>867</v>
      </c>
    </row>
    <row r="403" spans="1:7" x14ac:dyDescent="0.25">
      <c r="A403" s="3" t="s">
        <v>920</v>
      </c>
      <c r="B403" s="1" t="s">
        <v>342</v>
      </c>
      <c r="C403" s="1">
        <v>10</v>
      </c>
      <c r="D403" s="1" t="s">
        <v>507</v>
      </c>
      <c r="E403" s="4" t="s">
        <v>1143</v>
      </c>
      <c r="F403" s="1">
        <v>50</v>
      </c>
      <c r="G403" s="1" t="s">
        <v>903</v>
      </c>
    </row>
    <row r="404" spans="1:7" x14ac:dyDescent="0.25">
      <c r="A404" s="3" t="s">
        <v>921</v>
      </c>
      <c r="B404" s="1" t="s">
        <v>74</v>
      </c>
      <c r="C404" s="1">
        <v>14</v>
      </c>
      <c r="D404" s="1"/>
      <c r="E404" s="4" t="s">
        <v>1142</v>
      </c>
      <c r="F404" s="1">
        <v>25</v>
      </c>
      <c r="G404" s="1" t="s">
        <v>922</v>
      </c>
    </row>
    <row r="405" spans="1:7" x14ac:dyDescent="0.25">
      <c r="A405" s="3" t="s">
        <v>923</v>
      </c>
      <c r="B405" s="1" t="s">
        <v>228</v>
      </c>
      <c r="C405" s="1">
        <v>17</v>
      </c>
      <c r="D405" s="1" t="s">
        <v>924</v>
      </c>
      <c r="E405" s="2">
        <v>7</v>
      </c>
      <c r="F405" s="1">
        <v>2900</v>
      </c>
      <c r="G405" s="1" t="s">
        <v>925</v>
      </c>
    </row>
    <row r="406" spans="1:7" x14ac:dyDescent="0.25">
      <c r="A406" s="3" t="s">
        <v>926</v>
      </c>
      <c r="B406" s="1" t="s">
        <v>221</v>
      </c>
      <c r="C406" s="1">
        <v>17</v>
      </c>
      <c r="D406" s="1" t="s">
        <v>517</v>
      </c>
      <c r="E406" s="2">
        <v>10</v>
      </c>
      <c r="F406" s="1">
        <v>5900</v>
      </c>
      <c r="G406" s="1" t="s">
        <v>617</v>
      </c>
    </row>
    <row r="407" spans="1:7" x14ac:dyDescent="0.25">
      <c r="A407" s="3" t="s">
        <v>927</v>
      </c>
      <c r="B407" s="1" t="s">
        <v>228</v>
      </c>
      <c r="C407" s="1">
        <v>16</v>
      </c>
      <c r="D407" s="1" t="s">
        <v>928</v>
      </c>
      <c r="E407" s="2">
        <v>13</v>
      </c>
      <c r="F407" s="1">
        <v>10000</v>
      </c>
      <c r="G407" s="1" t="s">
        <v>925</v>
      </c>
    </row>
    <row r="408" spans="1:7" x14ac:dyDescent="0.25">
      <c r="A408" s="3" t="s">
        <v>929</v>
      </c>
      <c r="B408" s="1" t="s">
        <v>53</v>
      </c>
      <c r="C408" s="1">
        <v>15</v>
      </c>
      <c r="D408" s="1"/>
      <c r="E408" s="2">
        <v>4</v>
      </c>
      <c r="F408" s="1">
        <v>1100</v>
      </c>
      <c r="G408" s="1" t="s">
        <v>930</v>
      </c>
    </row>
    <row r="409" spans="1:7" x14ac:dyDescent="0.25">
      <c r="A409" s="3" t="s">
        <v>931</v>
      </c>
      <c r="B409" s="1" t="s">
        <v>50</v>
      </c>
      <c r="C409" s="1">
        <v>12</v>
      </c>
      <c r="D409" s="1"/>
      <c r="E409" s="4" t="s">
        <v>1143</v>
      </c>
      <c r="F409" s="1">
        <v>50</v>
      </c>
      <c r="G409" s="1" t="s">
        <v>864</v>
      </c>
    </row>
    <row r="410" spans="1:7" x14ac:dyDescent="0.25">
      <c r="A410" s="3" t="s">
        <v>932</v>
      </c>
      <c r="B410" s="1" t="s">
        <v>933</v>
      </c>
      <c r="C410" s="1">
        <v>12</v>
      </c>
      <c r="D410" s="1" t="s">
        <v>334</v>
      </c>
      <c r="E410" s="4" t="s">
        <v>1144</v>
      </c>
      <c r="F410" s="1">
        <v>100</v>
      </c>
      <c r="G410" s="1" t="s">
        <v>934</v>
      </c>
    </row>
    <row r="411" spans="1:7" x14ac:dyDescent="0.25">
      <c r="A411" s="3" t="s">
        <v>935</v>
      </c>
      <c r="B411" s="1" t="s">
        <v>50</v>
      </c>
      <c r="C411" s="1">
        <v>14</v>
      </c>
      <c r="D411" s="1"/>
      <c r="E411" s="2">
        <v>2</v>
      </c>
      <c r="F411" s="1">
        <v>450</v>
      </c>
      <c r="G411" s="1" t="s">
        <v>934</v>
      </c>
    </row>
    <row r="412" spans="1:7" x14ac:dyDescent="0.25">
      <c r="A412" s="3" t="s">
        <v>936</v>
      </c>
      <c r="B412" s="1" t="s">
        <v>50</v>
      </c>
      <c r="C412" s="1">
        <v>13</v>
      </c>
      <c r="D412" s="1"/>
      <c r="E412" s="2">
        <v>1</v>
      </c>
      <c r="F412" s="1">
        <v>200</v>
      </c>
      <c r="G412" s="1" t="s">
        <v>934</v>
      </c>
    </row>
    <row r="413" spans="1:7" x14ac:dyDescent="0.25">
      <c r="A413" s="3" t="s">
        <v>937</v>
      </c>
      <c r="B413" s="1" t="s">
        <v>50</v>
      </c>
      <c r="C413" s="1">
        <v>10</v>
      </c>
      <c r="D413" s="1"/>
      <c r="E413" s="4" t="s">
        <v>1143</v>
      </c>
      <c r="F413" s="1">
        <v>50</v>
      </c>
      <c r="G413" s="1" t="s">
        <v>938</v>
      </c>
    </row>
    <row r="414" spans="1:7" x14ac:dyDescent="0.25">
      <c r="A414" s="3" t="s">
        <v>939</v>
      </c>
      <c r="B414" s="1" t="s">
        <v>50</v>
      </c>
      <c r="C414" s="1">
        <v>12</v>
      </c>
      <c r="D414" s="1"/>
      <c r="E414" s="4" t="s">
        <v>1143</v>
      </c>
      <c r="F414" s="1">
        <v>50</v>
      </c>
      <c r="G414" s="1" t="s">
        <v>938</v>
      </c>
    </row>
    <row r="415" spans="1:7" ht="30" x14ac:dyDescent="0.25">
      <c r="A415" s="3" t="s">
        <v>940</v>
      </c>
      <c r="B415" s="1" t="s">
        <v>941</v>
      </c>
      <c r="C415" s="1" t="s">
        <v>26</v>
      </c>
      <c r="D415" s="1">
        <v>95</v>
      </c>
      <c r="E415" s="2"/>
      <c r="F415" s="1">
        <v>1800</v>
      </c>
      <c r="G415" s="1" t="s">
        <v>84</v>
      </c>
    </row>
    <row r="416" spans="1:7" x14ac:dyDescent="0.25">
      <c r="A416" s="3" t="s">
        <v>942</v>
      </c>
      <c r="B416" s="1" t="s">
        <v>799</v>
      </c>
      <c r="C416" s="1">
        <v>25</v>
      </c>
      <c r="D416" s="1"/>
      <c r="E416" s="2">
        <v>30</v>
      </c>
      <c r="F416" s="1">
        <v>155000</v>
      </c>
      <c r="G416" s="1" t="s">
        <v>943</v>
      </c>
    </row>
    <row r="417" spans="1:7" x14ac:dyDescent="0.25">
      <c r="A417" s="3" t="s">
        <v>944</v>
      </c>
      <c r="B417" s="1" t="s">
        <v>712</v>
      </c>
      <c r="C417" s="1" t="s">
        <v>26</v>
      </c>
      <c r="D417" s="1">
        <v>27</v>
      </c>
      <c r="E417" s="2"/>
      <c r="F417" s="1">
        <v>200</v>
      </c>
      <c r="G417" s="1" t="s">
        <v>84</v>
      </c>
    </row>
    <row r="418" spans="1:7" x14ac:dyDescent="0.25">
      <c r="A418" s="3" t="s">
        <v>945</v>
      </c>
      <c r="B418" s="1" t="s">
        <v>10</v>
      </c>
      <c r="C418" s="1">
        <v>15</v>
      </c>
      <c r="D418" s="1">
        <v>33</v>
      </c>
      <c r="E418" s="2">
        <v>1</v>
      </c>
      <c r="F418" s="1">
        <v>200</v>
      </c>
      <c r="G418" s="1" t="s">
        <v>946</v>
      </c>
    </row>
    <row r="419" spans="1:7" x14ac:dyDescent="0.25">
      <c r="A419" s="3" t="s">
        <v>947</v>
      </c>
      <c r="B419" s="1" t="s">
        <v>10</v>
      </c>
      <c r="C419" s="1">
        <v>11</v>
      </c>
      <c r="D419" s="1" t="s">
        <v>948</v>
      </c>
      <c r="E419" s="4" t="s">
        <v>1144</v>
      </c>
      <c r="F419" s="1">
        <v>100</v>
      </c>
      <c r="G419" s="1" t="s">
        <v>949</v>
      </c>
    </row>
    <row r="420" spans="1:7" x14ac:dyDescent="0.25">
      <c r="A420" s="3" t="s">
        <v>950</v>
      </c>
      <c r="B420" s="1" t="s">
        <v>35</v>
      </c>
      <c r="C420" s="1">
        <v>12</v>
      </c>
      <c r="D420" s="1"/>
      <c r="E420" s="2">
        <v>1</v>
      </c>
      <c r="F420" s="1">
        <v>200</v>
      </c>
      <c r="G420" s="1" t="s">
        <v>938</v>
      </c>
    </row>
    <row r="421" spans="1:7" x14ac:dyDescent="0.25">
      <c r="A421" s="3" t="s">
        <v>951</v>
      </c>
      <c r="B421" s="1" t="s">
        <v>64</v>
      </c>
      <c r="C421" s="1">
        <v>16</v>
      </c>
      <c r="D421" s="1">
        <v>138</v>
      </c>
      <c r="E421" s="2">
        <v>9</v>
      </c>
      <c r="F421" s="1">
        <v>5000</v>
      </c>
      <c r="G421" s="1" t="s">
        <v>952</v>
      </c>
    </row>
    <row r="422" spans="1:7" x14ac:dyDescent="0.25">
      <c r="A422" s="3" t="s">
        <v>953</v>
      </c>
      <c r="B422" s="1" t="s">
        <v>954</v>
      </c>
      <c r="C422" s="1">
        <v>15</v>
      </c>
      <c r="D422" s="1">
        <v>150</v>
      </c>
      <c r="E422" s="2"/>
      <c r="F422" s="1"/>
      <c r="G422" s="1" t="s">
        <v>887</v>
      </c>
    </row>
    <row r="423" spans="1:7" x14ac:dyDescent="0.25">
      <c r="A423" s="3" t="s">
        <v>955</v>
      </c>
      <c r="B423" s="1" t="s">
        <v>10</v>
      </c>
      <c r="C423" s="1">
        <v>12</v>
      </c>
      <c r="D423" s="1" t="s">
        <v>87</v>
      </c>
      <c r="E423" s="4" t="s">
        <v>1142</v>
      </c>
      <c r="F423" s="1">
        <v>25</v>
      </c>
      <c r="G423" s="1" t="s">
        <v>949</v>
      </c>
    </row>
    <row r="424" spans="1:7" x14ac:dyDescent="0.25">
      <c r="A424" s="3" t="s">
        <v>956</v>
      </c>
      <c r="B424" s="1" t="s">
        <v>48</v>
      </c>
      <c r="C424" s="1">
        <v>13</v>
      </c>
      <c r="D424" s="1"/>
      <c r="E424" s="2">
        <v>5</v>
      </c>
      <c r="F424" s="1">
        <v>1800</v>
      </c>
      <c r="G424" s="1" t="s">
        <v>787</v>
      </c>
    </row>
    <row r="425" spans="1:7" x14ac:dyDescent="0.25">
      <c r="A425" s="3" t="s">
        <v>957</v>
      </c>
      <c r="B425" s="1" t="s">
        <v>41</v>
      </c>
      <c r="C425" s="1">
        <v>15</v>
      </c>
      <c r="D425" s="1" t="s">
        <v>165</v>
      </c>
      <c r="E425" s="4" t="s">
        <v>1144</v>
      </c>
      <c r="F425" s="1">
        <v>100</v>
      </c>
      <c r="G425" s="1" t="s">
        <v>340</v>
      </c>
    </row>
    <row r="426" spans="1:7" x14ac:dyDescent="0.25">
      <c r="A426" s="3" t="s">
        <v>958</v>
      </c>
      <c r="B426" s="1" t="s">
        <v>10</v>
      </c>
      <c r="C426" s="1">
        <v>11</v>
      </c>
      <c r="D426" s="1">
        <v>13</v>
      </c>
      <c r="E426" s="4" t="s">
        <v>1143</v>
      </c>
      <c r="F426" s="1">
        <v>50</v>
      </c>
      <c r="G426" s="1" t="s">
        <v>959</v>
      </c>
    </row>
    <row r="427" spans="1:7" x14ac:dyDescent="0.25">
      <c r="A427" s="3" t="s">
        <v>960</v>
      </c>
      <c r="B427" s="1" t="s">
        <v>562</v>
      </c>
      <c r="C427" s="1">
        <v>15</v>
      </c>
      <c r="D427" s="1" t="s">
        <v>422</v>
      </c>
      <c r="E427" s="2">
        <v>5</v>
      </c>
      <c r="F427" s="1">
        <v>1800</v>
      </c>
      <c r="G427" s="1" t="s">
        <v>961</v>
      </c>
    </row>
    <row r="428" spans="1:7" x14ac:dyDescent="0.25">
      <c r="A428" s="3" t="s">
        <v>962</v>
      </c>
      <c r="B428" s="1" t="s">
        <v>62</v>
      </c>
      <c r="C428" s="1">
        <v>13</v>
      </c>
      <c r="D428" s="1" t="s">
        <v>963</v>
      </c>
      <c r="E428" s="4" t="s">
        <v>1142</v>
      </c>
      <c r="F428" s="1"/>
      <c r="G428" s="1" t="s">
        <v>723</v>
      </c>
    </row>
    <row r="429" spans="1:7" x14ac:dyDescent="0.25">
      <c r="A429" s="3" t="s">
        <v>964</v>
      </c>
      <c r="B429" s="1" t="s">
        <v>48</v>
      </c>
      <c r="C429" s="1">
        <v>13</v>
      </c>
      <c r="D429" s="1"/>
      <c r="E429" s="2">
        <v>8</v>
      </c>
      <c r="F429" s="1">
        <v>3900</v>
      </c>
      <c r="G429" s="1" t="s">
        <v>787</v>
      </c>
    </row>
    <row r="430" spans="1:7" x14ac:dyDescent="0.25">
      <c r="A430" s="3" t="s">
        <v>965</v>
      </c>
      <c r="B430" s="1" t="s">
        <v>53</v>
      </c>
      <c r="C430" s="1">
        <v>19</v>
      </c>
      <c r="D430" s="1"/>
      <c r="E430" s="2">
        <v>13</v>
      </c>
      <c r="F430" s="1">
        <v>10000</v>
      </c>
      <c r="G430" s="1" t="s">
        <v>734</v>
      </c>
    </row>
    <row r="431" spans="1:7" x14ac:dyDescent="0.25">
      <c r="A431" s="3" t="s">
        <v>966</v>
      </c>
      <c r="B431" s="1" t="s">
        <v>38</v>
      </c>
      <c r="C431" s="1">
        <v>18</v>
      </c>
      <c r="D431" s="1">
        <v>93</v>
      </c>
      <c r="E431" s="2">
        <v>5</v>
      </c>
      <c r="F431" s="1">
        <v>1800</v>
      </c>
      <c r="G431" s="1" t="s">
        <v>967</v>
      </c>
    </row>
    <row r="432" spans="1:7" x14ac:dyDescent="0.25">
      <c r="A432" s="3" t="s">
        <v>968</v>
      </c>
      <c r="B432" s="1" t="s">
        <v>766</v>
      </c>
      <c r="C432" s="1">
        <v>12</v>
      </c>
      <c r="D432" s="1">
        <v>67</v>
      </c>
      <c r="E432" s="2">
        <v>5</v>
      </c>
      <c r="F432" s="1">
        <v>1800</v>
      </c>
      <c r="G432" s="1" t="s">
        <v>969</v>
      </c>
    </row>
    <row r="433" spans="1:7" x14ac:dyDescent="0.25">
      <c r="A433" s="3" t="s">
        <v>970</v>
      </c>
      <c r="B433" s="1" t="s">
        <v>93</v>
      </c>
      <c r="C433" s="1">
        <v>16</v>
      </c>
      <c r="D433" s="1"/>
      <c r="E433" s="2">
        <v>13</v>
      </c>
      <c r="F433" s="1">
        <v>10000</v>
      </c>
      <c r="G433" s="1" t="s">
        <v>971</v>
      </c>
    </row>
    <row r="434" spans="1:7" x14ac:dyDescent="0.25">
      <c r="A434" s="3" t="s">
        <v>972</v>
      </c>
      <c r="B434" s="1" t="s">
        <v>93</v>
      </c>
      <c r="C434" s="1">
        <v>15</v>
      </c>
      <c r="D434" s="1"/>
      <c r="E434" s="2">
        <v>5</v>
      </c>
      <c r="F434" s="1">
        <v>1800</v>
      </c>
      <c r="G434" s="1" t="s">
        <v>973</v>
      </c>
    </row>
    <row r="435" spans="1:7" x14ac:dyDescent="0.25">
      <c r="A435" s="3" t="s">
        <v>974</v>
      </c>
      <c r="B435" s="1" t="s">
        <v>807</v>
      </c>
      <c r="C435" s="1" t="s">
        <v>26</v>
      </c>
      <c r="D435" s="1">
        <v>13</v>
      </c>
      <c r="E435" s="2"/>
      <c r="F435" s="1">
        <v>200</v>
      </c>
      <c r="G435" s="1" t="s">
        <v>749</v>
      </c>
    </row>
    <row r="436" spans="1:7" x14ac:dyDescent="0.25">
      <c r="A436" s="3" t="s">
        <v>975</v>
      </c>
      <c r="B436" s="1" t="s">
        <v>62</v>
      </c>
      <c r="C436" s="1" t="s">
        <v>26</v>
      </c>
      <c r="D436" s="1">
        <v>9</v>
      </c>
      <c r="E436" s="2"/>
      <c r="F436" s="1">
        <v>50</v>
      </c>
      <c r="G436" s="1" t="s">
        <v>84</v>
      </c>
    </row>
    <row r="437" spans="1:7" x14ac:dyDescent="0.25">
      <c r="A437" s="3" t="s">
        <v>976</v>
      </c>
      <c r="B437" s="1" t="s">
        <v>62</v>
      </c>
      <c r="C437" s="1" t="s">
        <v>26</v>
      </c>
      <c r="D437" s="1">
        <v>33</v>
      </c>
      <c r="E437" s="2"/>
      <c r="F437" s="1">
        <v>450</v>
      </c>
      <c r="G437" s="1" t="s">
        <v>84</v>
      </c>
    </row>
    <row r="438" spans="1:7" x14ac:dyDescent="0.25">
      <c r="A438" s="3" t="s">
        <v>977</v>
      </c>
      <c r="B438" s="1" t="s">
        <v>10</v>
      </c>
      <c r="C438" s="1">
        <v>17</v>
      </c>
      <c r="D438" s="1" t="s">
        <v>689</v>
      </c>
      <c r="E438" s="2">
        <v>3</v>
      </c>
      <c r="F438" s="1">
        <v>700</v>
      </c>
      <c r="G438" s="1" t="s">
        <v>949</v>
      </c>
    </row>
    <row r="439" spans="1:7" x14ac:dyDescent="0.25">
      <c r="A439" s="3" t="s">
        <v>978</v>
      </c>
      <c r="B439" s="1" t="s">
        <v>712</v>
      </c>
      <c r="C439" s="1">
        <v>12</v>
      </c>
      <c r="D439" s="1" t="s">
        <v>979</v>
      </c>
      <c r="E439" s="4" t="s">
        <v>1144</v>
      </c>
      <c r="F439" s="1">
        <v>100</v>
      </c>
      <c r="G439" s="1" t="s">
        <v>723</v>
      </c>
    </row>
    <row r="440" spans="1:7" x14ac:dyDescent="0.25">
      <c r="A440" s="3" t="s">
        <v>980</v>
      </c>
      <c r="B440" s="1" t="s">
        <v>712</v>
      </c>
      <c r="C440" s="1">
        <v>5</v>
      </c>
      <c r="D440" s="1" t="s">
        <v>620</v>
      </c>
      <c r="E440" s="4" t="s">
        <v>1143</v>
      </c>
      <c r="F440" s="1">
        <v>50</v>
      </c>
      <c r="G440" s="1" t="s">
        <v>416</v>
      </c>
    </row>
    <row r="441" spans="1:7" x14ac:dyDescent="0.25">
      <c r="A441" s="3" t="s">
        <v>981</v>
      </c>
      <c r="B441" s="1" t="s">
        <v>100</v>
      </c>
      <c r="C441" s="1">
        <v>15</v>
      </c>
      <c r="D441" s="1">
        <v>104</v>
      </c>
      <c r="E441" s="2">
        <v>6</v>
      </c>
      <c r="F441" s="1">
        <v>2300</v>
      </c>
      <c r="G441" s="1" t="s">
        <v>875</v>
      </c>
    </row>
    <row r="442" spans="1:7" x14ac:dyDescent="0.25">
      <c r="A442" s="3" t="s">
        <v>982</v>
      </c>
      <c r="B442" s="1" t="s">
        <v>50</v>
      </c>
      <c r="C442" s="1">
        <v>10</v>
      </c>
      <c r="D442" s="1"/>
      <c r="E442" s="2">
        <v>0</v>
      </c>
      <c r="F442" s="1">
        <v>10</v>
      </c>
      <c r="G442" s="1" t="s">
        <v>938</v>
      </c>
    </row>
    <row r="443" spans="1:7" x14ac:dyDescent="0.25">
      <c r="A443" s="3" t="s">
        <v>983</v>
      </c>
      <c r="B443" s="1" t="s">
        <v>35</v>
      </c>
      <c r="C443" s="1">
        <v>11</v>
      </c>
      <c r="D443" s="1"/>
      <c r="E443" s="4" t="s">
        <v>1144</v>
      </c>
      <c r="F443" s="1">
        <v>100</v>
      </c>
      <c r="G443" s="1" t="s">
        <v>984</v>
      </c>
    </row>
    <row r="444" spans="1:7" x14ac:dyDescent="0.25">
      <c r="A444" s="3" t="s">
        <v>985</v>
      </c>
      <c r="B444" s="1" t="s">
        <v>117</v>
      </c>
      <c r="C444" s="1">
        <v>13</v>
      </c>
      <c r="D444" s="1" t="s">
        <v>466</v>
      </c>
      <c r="E444" s="4" t="s">
        <v>1144</v>
      </c>
      <c r="F444" s="1">
        <v>100</v>
      </c>
      <c r="G444" s="1" t="s">
        <v>699</v>
      </c>
    </row>
    <row r="445" spans="1:7" x14ac:dyDescent="0.25">
      <c r="A445" s="3" t="s">
        <v>986</v>
      </c>
      <c r="B445" s="1" t="s">
        <v>31</v>
      </c>
      <c r="C445" s="1">
        <v>14</v>
      </c>
      <c r="D445" s="1" t="s">
        <v>519</v>
      </c>
      <c r="E445" s="2">
        <v>5</v>
      </c>
      <c r="F445" s="1">
        <v>1800</v>
      </c>
      <c r="G445" s="1" t="s">
        <v>374</v>
      </c>
    </row>
    <row r="446" spans="1:7" x14ac:dyDescent="0.25">
      <c r="A446" s="3" t="s">
        <v>987</v>
      </c>
      <c r="B446" s="1" t="s">
        <v>31</v>
      </c>
      <c r="C446" s="1">
        <v>13</v>
      </c>
      <c r="D446" s="1">
        <v>58</v>
      </c>
      <c r="E446" s="2">
        <v>3</v>
      </c>
      <c r="F446" s="1">
        <v>700</v>
      </c>
      <c r="G446" s="1" t="s">
        <v>988</v>
      </c>
    </row>
    <row r="447" spans="1:7" x14ac:dyDescent="0.25">
      <c r="A447" s="3" t="s">
        <v>989</v>
      </c>
      <c r="B447" s="1" t="s">
        <v>74</v>
      </c>
      <c r="C447" s="1">
        <v>13</v>
      </c>
      <c r="D447" s="1"/>
      <c r="E447" s="2">
        <v>0</v>
      </c>
      <c r="F447" s="1">
        <v>10</v>
      </c>
      <c r="G447" s="1" t="s">
        <v>984</v>
      </c>
    </row>
    <row r="448" spans="1:7" ht="30" x14ac:dyDescent="0.25">
      <c r="A448" s="3" t="s">
        <v>990</v>
      </c>
      <c r="B448" s="1" t="s">
        <v>991</v>
      </c>
      <c r="C448" s="1">
        <v>11</v>
      </c>
      <c r="D448" s="1" t="s">
        <v>644</v>
      </c>
      <c r="E448" s="2">
        <v>5</v>
      </c>
      <c r="F448" s="1">
        <v>1800</v>
      </c>
      <c r="G448" s="1" t="s">
        <v>992</v>
      </c>
    </row>
    <row r="449" spans="1:7" ht="30" x14ac:dyDescent="0.25">
      <c r="A449" s="3" t="s">
        <v>993</v>
      </c>
      <c r="B449" s="1" t="s">
        <v>991</v>
      </c>
      <c r="C449" s="1">
        <v>11</v>
      </c>
      <c r="D449" s="1" t="s">
        <v>59</v>
      </c>
      <c r="E449" s="2">
        <v>4</v>
      </c>
      <c r="F449" s="1">
        <v>1100</v>
      </c>
      <c r="G449" s="1" t="s">
        <v>994</v>
      </c>
    </row>
    <row r="450" spans="1:7" ht="30" x14ac:dyDescent="0.25">
      <c r="A450" s="3" t="s">
        <v>995</v>
      </c>
      <c r="B450" s="1" t="s">
        <v>991</v>
      </c>
      <c r="C450" s="1">
        <v>12</v>
      </c>
      <c r="D450" s="1" t="s">
        <v>125</v>
      </c>
      <c r="E450" s="2">
        <v>2</v>
      </c>
      <c r="F450" s="1">
        <v>450</v>
      </c>
      <c r="G450" s="1" t="s">
        <v>994</v>
      </c>
    </row>
    <row r="451" spans="1:7" ht="30" x14ac:dyDescent="0.25">
      <c r="A451" s="3" t="s">
        <v>996</v>
      </c>
      <c r="B451" s="1" t="s">
        <v>991</v>
      </c>
      <c r="C451" s="1">
        <v>12</v>
      </c>
      <c r="D451" s="1" t="s">
        <v>997</v>
      </c>
      <c r="E451" s="2">
        <v>4</v>
      </c>
      <c r="F451" s="1">
        <v>1100</v>
      </c>
      <c r="G451" s="1" t="s">
        <v>998</v>
      </c>
    </row>
    <row r="452" spans="1:7" ht="30" x14ac:dyDescent="0.25">
      <c r="A452" s="3" t="s">
        <v>999</v>
      </c>
      <c r="B452" s="1" t="s">
        <v>991</v>
      </c>
      <c r="C452" s="1">
        <v>12</v>
      </c>
      <c r="D452" s="1" t="s">
        <v>689</v>
      </c>
      <c r="E452" s="2">
        <v>3</v>
      </c>
      <c r="F452" s="1">
        <v>700</v>
      </c>
      <c r="G452" s="1" t="s">
        <v>1000</v>
      </c>
    </row>
    <row r="453" spans="1:7" x14ac:dyDescent="0.25">
      <c r="A453" s="3" t="s">
        <v>1001</v>
      </c>
      <c r="B453" s="1" t="s">
        <v>25</v>
      </c>
      <c r="C453" s="1">
        <v>18</v>
      </c>
      <c r="D453" s="1" t="s">
        <v>1002</v>
      </c>
      <c r="E453" s="2">
        <v>13</v>
      </c>
      <c r="F453" s="1">
        <v>10000</v>
      </c>
      <c r="G453" s="1" t="s">
        <v>1003</v>
      </c>
    </row>
    <row r="454" spans="1:7" x14ac:dyDescent="0.25">
      <c r="A454" s="3" t="s">
        <v>1004</v>
      </c>
      <c r="B454" s="1" t="s">
        <v>129</v>
      </c>
      <c r="C454" s="1">
        <v>20</v>
      </c>
      <c r="D454" s="1" t="s">
        <v>1005</v>
      </c>
      <c r="E454" s="2">
        <v>20</v>
      </c>
      <c r="F454" s="1">
        <v>25000</v>
      </c>
      <c r="G454" s="1" t="s">
        <v>1006</v>
      </c>
    </row>
    <row r="455" spans="1:7" x14ac:dyDescent="0.25">
      <c r="A455" s="3" t="s">
        <v>1007</v>
      </c>
      <c r="B455" s="1" t="s">
        <v>124</v>
      </c>
      <c r="C455" s="1">
        <v>16</v>
      </c>
      <c r="D455" s="1" t="s">
        <v>176</v>
      </c>
      <c r="E455" s="2">
        <v>2</v>
      </c>
      <c r="F455" s="1">
        <v>450</v>
      </c>
      <c r="G455" s="1" t="s">
        <v>1008</v>
      </c>
    </row>
    <row r="456" spans="1:7" x14ac:dyDescent="0.25">
      <c r="A456" s="3" t="s">
        <v>1009</v>
      </c>
      <c r="B456" s="1" t="s">
        <v>133</v>
      </c>
      <c r="C456" s="1">
        <v>14</v>
      </c>
      <c r="D456" s="1" t="s">
        <v>222</v>
      </c>
      <c r="E456" s="2">
        <v>6</v>
      </c>
      <c r="F456" s="1">
        <v>2300</v>
      </c>
      <c r="G456" s="1" t="s">
        <v>1003</v>
      </c>
    </row>
    <row r="457" spans="1:7" x14ac:dyDescent="0.25">
      <c r="A457" s="3" t="s">
        <v>1010</v>
      </c>
      <c r="B457" s="1" t="s">
        <v>93</v>
      </c>
      <c r="C457" s="1">
        <v>14</v>
      </c>
      <c r="D457" s="1"/>
      <c r="E457" s="2">
        <v>3</v>
      </c>
      <c r="F457" s="1">
        <v>700</v>
      </c>
      <c r="G457" s="1" t="s">
        <v>1011</v>
      </c>
    </row>
    <row r="458" spans="1:7" x14ac:dyDescent="0.25">
      <c r="A458" s="3" t="s">
        <v>1012</v>
      </c>
      <c r="B458" s="1" t="s">
        <v>256</v>
      </c>
      <c r="C458" s="1">
        <v>19</v>
      </c>
      <c r="D458" s="1">
        <v>22</v>
      </c>
      <c r="E458" s="2">
        <v>2</v>
      </c>
      <c r="F458" s="1">
        <v>450</v>
      </c>
      <c r="G458" s="1" t="s">
        <v>1013</v>
      </c>
    </row>
    <row r="459" spans="1:7" x14ac:dyDescent="0.25">
      <c r="A459" s="3" t="s">
        <v>1014</v>
      </c>
      <c r="B459" s="1" t="s">
        <v>499</v>
      </c>
      <c r="C459" s="1">
        <v>13</v>
      </c>
      <c r="D459" s="1" t="s">
        <v>1015</v>
      </c>
      <c r="E459" s="4" t="s">
        <v>1143</v>
      </c>
      <c r="F459" s="1">
        <v>50</v>
      </c>
      <c r="G459" s="1" t="s">
        <v>629</v>
      </c>
    </row>
    <row r="460" spans="1:7" x14ac:dyDescent="0.25">
      <c r="A460" s="3" t="s">
        <v>1016</v>
      </c>
      <c r="B460" s="1" t="s">
        <v>38</v>
      </c>
      <c r="C460" s="1">
        <v>13</v>
      </c>
      <c r="D460" s="1"/>
      <c r="E460" s="2">
        <v>3</v>
      </c>
      <c r="F460" s="1">
        <v>700</v>
      </c>
      <c r="G460" s="1" t="s">
        <v>984</v>
      </c>
    </row>
    <row r="461" spans="1:7" x14ac:dyDescent="0.25">
      <c r="A461" s="3" t="s">
        <v>1017</v>
      </c>
      <c r="B461" s="1" t="s">
        <v>50</v>
      </c>
      <c r="C461" s="1">
        <v>13</v>
      </c>
      <c r="D461" s="1"/>
      <c r="E461" s="4" t="s">
        <v>1143</v>
      </c>
      <c r="F461" s="1">
        <v>50</v>
      </c>
      <c r="G461" s="1" t="s">
        <v>1018</v>
      </c>
    </row>
    <row r="462" spans="1:7" x14ac:dyDescent="0.25">
      <c r="A462" s="3" t="s">
        <v>1019</v>
      </c>
      <c r="B462" s="1" t="s">
        <v>38</v>
      </c>
      <c r="C462" s="1">
        <v>13</v>
      </c>
      <c r="D462" s="1"/>
      <c r="E462" s="4" t="s">
        <v>1144</v>
      </c>
      <c r="F462" s="1">
        <v>100</v>
      </c>
      <c r="G462" s="1" t="s">
        <v>1018</v>
      </c>
    </row>
    <row r="463" spans="1:7" x14ac:dyDescent="0.25">
      <c r="A463" s="3" t="s">
        <v>1020</v>
      </c>
      <c r="B463" s="1" t="s">
        <v>93</v>
      </c>
      <c r="C463" s="1">
        <v>13</v>
      </c>
      <c r="D463" s="1">
        <v>67</v>
      </c>
      <c r="E463" s="2">
        <v>5</v>
      </c>
      <c r="F463" s="1">
        <v>1800</v>
      </c>
      <c r="G463" s="1" t="s">
        <v>1021</v>
      </c>
    </row>
    <row r="464" spans="1:7" x14ac:dyDescent="0.25">
      <c r="A464" s="3" t="s">
        <v>1022</v>
      </c>
      <c r="B464" s="1" t="s">
        <v>133</v>
      </c>
      <c r="C464" s="1">
        <v>13</v>
      </c>
      <c r="D464" s="1"/>
      <c r="E464" s="2">
        <v>6</v>
      </c>
      <c r="F464" s="1">
        <v>2300</v>
      </c>
      <c r="G464" s="1" t="s">
        <v>1023</v>
      </c>
    </row>
    <row r="465" spans="1:7" x14ac:dyDescent="0.25">
      <c r="A465" s="3" t="s">
        <v>1024</v>
      </c>
      <c r="B465" s="1" t="s">
        <v>67</v>
      </c>
      <c r="C465" s="1">
        <v>19</v>
      </c>
      <c r="D465" s="1">
        <v>73</v>
      </c>
      <c r="E465" s="2">
        <v>5</v>
      </c>
      <c r="F465" s="1">
        <v>1800</v>
      </c>
      <c r="G465" s="1" t="s">
        <v>1025</v>
      </c>
    </row>
    <row r="466" spans="1:7" x14ac:dyDescent="0.25">
      <c r="A466" s="3" t="s">
        <v>1026</v>
      </c>
      <c r="B466" s="1" t="s">
        <v>38</v>
      </c>
      <c r="C466" s="1">
        <v>12</v>
      </c>
      <c r="D466" s="1">
        <v>51</v>
      </c>
      <c r="E466" s="2">
        <v>3</v>
      </c>
      <c r="F466" s="1">
        <v>700</v>
      </c>
      <c r="G466" s="1" t="s">
        <v>1027</v>
      </c>
    </row>
    <row r="467" spans="1:7" x14ac:dyDescent="0.25">
      <c r="A467" s="3" t="s">
        <v>1028</v>
      </c>
      <c r="B467" s="1" t="s">
        <v>53</v>
      </c>
      <c r="C467" s="1">
        <v>15</v>
      </c>
      <c r="D467" s="1">
        <v>136</v>
      </c>
      <c r="E467" s="2">
        <v>10</v>
      </c>
      <c r="F467" s="1">
        <v>5900</v>
      </c>
      <c r="G467" s="1" t="s">
        <v>1029</v>
      </c>
    </row>
    <row r="468" spans="1:7" x14ac:dyDescent="0.25">
      <c r="A468" s="3" t="s">
        <v>1030</v>
      </c>
      <c r="B468" s="1" t="s">
        <v>133</v>
      </c>
      <c r="C468" s="1" t="s">
        <v>26</v>
      </c>
      <c r="D468" s="1" t="s">
        <v>1031</v>
      </c>
      <c r="E468" s="2">
        <v>7</v>
      </c>
      <c r="F468" s="1">
        <v>2900</v>
      </c>
      <c r="G468" s="1" t="s">
        <v>26</v>
      </c>
    </row>
    <row r="469" spans="1:7" x14ac:dyDescent="0.25">
      <c r="A469" s="3" t="s">
        <v>1032</v>
      </c>
      <c r="B469" s="1" t="s">
        <v>133</v>
      </c>
      <c r="C469" s="1">
        <v>18</v>
      </c>
      <c r="D469" s="1" t="s">
        <v>517</v>
      </c>
      <c r="E469" s="2">
        <v>10</v>
      </c>
      <c r="F469" s="1">
        <v>5900</v>
      </c>
      <c r="G469" s="1" t="s">
        <v>821</v>
      </c>
    </row>
    <row r="470" spans="1:7" x14ac:dyDescent="0.25">
      <c r="A470" s="3" t="s">
        <v>1033</v>
      </c>
      <c r="B470" s="1" t="s">
        <v>38</v>
      </c>
      <c r="C470" s="1">
        <v>14</v>
      </c>
      <c r="D470" s="1" t="s">
        <v>841</v>
      </c>
      <c r="E470" s="2">
        <v>5</v>
      </c>
      <c r="F470" s="1">
        <v>1800</v>
      </c>
      <c r="G470" s="1" t="s">
        <v>831</v>
      </c>
    </row>
    <row r="471" spans="1:7" x14ac:dyDescent="0.25">
      <c r="A471" s="3" t="s">
        <v>1034</v>
      </c>
      <c r="B471" s="1" t="s">
        <v>38</v>
      </c>
      <c r="C471" s="1">
        <v>15</v>
      </c>
      <c r="D471" s="1">
        <v>127</v>
      </c>
      <c r="E471" s="2">
        <v>7</v>
      </c>
      <c r="F471" s="1">
        <v>2900</v>
      </c>
      <c r="G471" s="1" t="s">
        <v>1035</v>
      </c>
    </row>
    <row r="472" spans="1:7" x14ac:dyDescent="0.25">
      <c r="A472" s="3" t="s">
        <v>1036</v>
      </c>
      <c r="B472" s="1" t="s">
        <v>105</v>
      </c>
      <c r="C472" s="1">
        <v>12</v>
      </c>
      <c r="D472" s="1">
        <v>66</v>
      </c>
      <c r="E472" s="2">
        <v>3</v>
      </c>
      <c r="F472" s="1">
        <v>700</v>
      </c>
      <c r="G472" s="1" t="s">
        <v>1037</v>
      </c>
    </row>
    <row r="473" spans="1:7" x14ac:dyDescent="0.25">
      <c r="A473" s="3" t="s">
        <v>1038</v>
      </c>
      <c r="B473" s="1" t="s">
        <v>10</v>
      </c>
      <c r="C473" s="1">
        <v>11</v>
      </c>
      <c r="D473" s="1">
        <v>40</v>
      </c>
      <c r="E473" s="2">
        <v>1</v>
      </c>
      <c r="F473" s="1">
        <v>200</v>
      </c>
      <c r="G473" s="1" t="s">
        <v>1039</v>
      </c>
    </row>
    <row r="474" spans="1:7" x14ac:dyDescent="0.25">
      <c r="A474" s="3" t="s">
        <v>1040</v>
      </c>
      <c r="B474" s="1" t="s">
        <v>93</v>
      </c>
      <c r="C474" s="1">
        <v>8</v>
      </c>
      <c r="D474" s="1" t="s">
        <v>526</v>
      </c>
      <c r="E474" s="4" t="s">
        <v>1143</v>
      </c>
      <c r="F474" s="1">
        <v>50</v>
      </c>
      <c r="G474" s="1" t="s">
        <v>119</v>
      </c>
    </row>
    <row r="475" spans="1:7" x14ac:dyDescent="0.25">
      <c r="A475" s="3" t="s">
        <v>1041</v>
      </c>
      <c r="B475" s="1" t="s">
        <v>228</v>
      </c>
      <c r="C475" s="1">
        <v>14</v>
      </c>
      <c r="D475" s="1" t="s">
        <v>400</v>
      </c>
      <c r="E475" s="2">
        <v>8</v>
      </c>
      <c r="F475" s="1">
        <v>3900</v>
      </c>
      <c r="G475" s="1"/>
    </row>
    <row r="476" spans="1:7" ht="30" x14ac:dyDescent="0.25">
      <c r="A476" s="3" t="s">
        <v>1042</v>
      </c>
      <c r="B476" s="1" t="s">
        <v>1043</v>
      </c>
      <c r="C476" s="1">
        <v>13</v>
      </c>
      <c r="D476" s="1" t="s">
        <v>572</v>
      </c>
      <c r="E476" s="2">
        <v>4</v>
      </c>
      <c r="F476" s="1">
        <v>1100</v>
      </c>
      <c r="G476" s="1" t="s">
        <v>1044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Aux Lists</vt:lpstr>
      <vt:lpstr>Character Lists</vt:lpstr>
      <vt:lpstr>Environmental</vt:lpstr>
      <vt:lpstr>Player Manager</vt:lpstr>
      <vt:lpstr>Readied Encounter</vt:lpstr>
      <vt:lpstr>Encounter Builder</vt:lpstr>
      <vt:lpstr>Xanathar's Encounter Builder</vt:lpstr>
      <vt:lpstr>Saved Encounters</vt:lpstr>
      <vt:lpstr>Enemy Library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2018-04-01T20:29:45Z</dcterms:modified>
</cp:coreProperties>
</file>