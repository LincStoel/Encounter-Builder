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5.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20.xml" ContentType="application/vnd.openxmlformats-officedocument.spreadsheetml.table+xml"/>
  <Override PartName="/xl/drawings/drawing6.xml" ContentType="application/vnd.openxmlformats-officedocument.drawing+xml"/>
  <Override PartName="/xl/ctrlProps/ctrlProp26.xml" ContentType="application/vnd.ms-excel.controlproperties+xml"/>
  <Override PartName="/xl/tables/table21.xml" ContentType="application/vnd.openxmlformats-officedocument.spreadsheetml.table+xml"/>
  <Override PartName="/xl/drawings/drawing7.xml" ContentType="application/vnd.openxmlformats-officedocument.drawing+xml"/>
  <Override PartName="/xl/ctrlProps/ctrlProp27.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linco\Documents\D&amp;D Excel Github Release\Encounter Builder\"/>
    </mc:Choice>
  </mc:AlternateContent>
  <xr:revisionPtr revIDLastSave="0" documentId="13_ncr:1_{76B7BF1E-58A4-4DE5-9C9B-9AD6F80BD741}" xr6:coauthVersionLast="47" xr6:coauthVersionMax="47" xr10:uidLastSave="{00000000-0000-0000-0000-000000000000}"/>
  <bookViews>
    <workbookView xWindow="-120" yWindow="-120" windowWidth="38640" windowHeight="21840" firstSheet="2" activeTab="2" xr2:uid="{00000000-000D-0000-FFFF-FFFF00000000}"/>
  </bookViews>
  <sheets>
    <sheet name="Aux Lists" sheetId="7" state="hidden" r:id="rId1"/>
    <sheet name="Character Lists" sheetId="8" state="hidden" r:id="rId2"/>
    <sheet name="Player Manager" sheetId="2" r:id="rId3"/>
    <sheet name="Encounter" sheetId="18" r:id="rId4"/>
    <sheet name="Encounter Builder" sheetId="4" r:id="rId5"/>
    <sheet name="Xanathar's Encounter Builder" sheetId="3" r:id="rId6"/>
    <sheet name="Saved Encounters" sheetId="9" r:id="rId7"/>
    <sheet name="Loot Tables" sheetId="17" r:id="rId8"/>
    <sheet name="Enemy Library" sheetId="1" r:id="rId9"/>
    <sheet name="Item Library" sheetId="11" r:id="rId10"/>
    <sheet name="Spell Library" sheetId="13" r:id="rId11"/>
    <sheet name="Magic Item Library" sheetId="12" r:id="rId12"/>
    <sheet name="Environmental" sheetId="6" r:id="rId13"/>
    <sheet name="Random Encounters" sheetId="15" r:id="rId14"/>
  </sheets>
  <functionGroups builtInGroupCount="19"/>
  <definedNames>
    <definedName name="AutoRollNPCInitiative">Encounter!$R$19</definedName>
    <definedName name="AutoRollPlayerInitiative">Encounter!$R$20</definedName>
    <definedName name="AwardWeightedEXP">Encounter!$R$18</definedName>
    <definedName name="CreatureNames">INDIRECT("Creatures[Block]")</definedName>
    <definedName name="RollHP">Encounter!$R$21</definedName>
    <definedName name="Round">#REF!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 i="1" l="1"/>
  <c r="I3" i="1"/>
  <c r="F4" i="1"/>
  <c r="I4" i="1"/>
  <c r="F2" i="1"/>
  <c r="I2" i="1"/>
  <c r="A7" i="18"/>
  <c r="A8" i="18"/>
  <c r="A5" i="18"/>
  <c r="A9" i="18"/>
  <c r="A6" i="18"/>
  <c r="A10" i="18"/>
  <c r="E18" i="18"/>
  <c r="A18" i="18" s="1"/>
  <c r="H18" i="18"/>
  <c r="E14" i="18"/>
  <c r="A14" i="18" s="1"/>
  <c r="H14" i="18"/>
  <c r="E16" i="18"/>
  <c r="A16" i="18" s="1"/>
  <c r="H16" i="18"/>
  <c r="E11" i="18"/>
  <c r="A11" i="18" s="1"/>
  <c r="H11" i="18"/>
  <c r="E12" i="18"/>
  <c r="A12" i="18" s="1"/>
  <c r="H12" i="18"/>
  <c r="E13" i="18"/>
  <c r="A13" i="18" s="1"/>
  <c r="H13" i="18"/>
  <c r="E17" i="18"/>
  <c r="A17" i="18" s="1"/>
  <c r="H17" i="18"/>
  <c r="E15" i="18"/>
  <c r="A15" i="18" s="1"/>
  <c r="H15" i="18"/>
  <c r="CD20" i="2" l="1"/>
  <c r="AK20" i="2"/>
  <c r="J20" i="2"/>
  <c r="S20" i="2"/>
  <c r="AB20" i="2"/>
  <c r="AT20" i="2"/>
  <c r="BC20" i="2"/>
  <c r="BL20" i="2"/>
  <c r="CM20" i="2"/>
  <c r="BU20" i="2"/>
  <c r="AK45" i="2"/>
  <c r="CM45" i="2"/>
  <c r="J45" i="2"/>
  <c r="S45" i="2"/>
  <c r="AB45" i="2"/>
  <c r="AT45" i="2"/>
  <c r="BC45" i="2"/>
  <c r="BL45" i="2"/>
  <c r="BU45" i="2"/>
  <c r="CD45" i="2"/>
  <c r="CM34" i="2"/>
  <c r="BL34" i="2"/>
  <c r="BU34" i="2"/>
  <c r="BC34" i="2"/>
  <c r="CD34" i="2"/>
  <c r="J34" i="2"/>
  <c r="J36" i="2" s="1"/>
  <c r="S34" i="2"/>
  <c r="AK34" i="2"/>
  <c r="AB34" i="2"/>
  <c r="AT34" i="2"/>
  <c r="B1" i="18"/>
  <c r="D1" i="18" s="1"/>
  <c r="C1" i="18" l="1"/>
  <c r="CD54" i="2"/>
  <c r="BU54" i="2"/>
  <c r="BC54" i="2"/>
  <c r="AB54" i="2"/>
  <c r="S54" i="2"/>
  <c r="BL54" i="2"/>
  <c r="J54" i="2"/>
  <c r="AT54" i="2"/>
  <c r="AK54" i="2"/>
  <c r="CM54" i="2"/>
  <c r="C4" i="17" l="1"/>
  <c r="C5" i="17"/>
  <c r="J60" i="2" l="1"/>
  <c r="BB12" i="7" l="1"/>
  <c r="BB11" i="7"/>
  <c r="BB10" i="7"/>
  <c r="BB9" i="7"/>
  <c r="BB8" i="7"/>
  <c r="BB7" i="7"/>
  <c r="BB6" i="7"/>
  <c r="BB5" i="7"/>
  <c r="BB4" i="7"/>
  <c r="BB3" i="7"/>
  <c r="BA12" i="7"/>
  <c r="BA11" i="7"/>
  <c r="BA10" i="7"/>
  <c r="BA9" i="7"/>
  <c r="BA8" i="7"/>
  <c r="BA7" i="7"/>
  <c r="BA6" i="7"/>
  <c r="BA5" i="7"/>
  <c r="BA4" i="7"/>
  <c r="BA3" i="7"/>
  <c r="M63" i="3" l="1"/>
  <c r="P63" i="3" s="1"/>
  <c r="M62" i="3"/>
  <c r="P62" i="3" s="1"/>
  <c r="M61" i="3"/>
  <c r="P61" i="3" s="1"/>
  <c r="M60" i="3"/>
  <c r="P60" i="3" s="1"/>
  <c r="M59" i="3"/>
  <c r="P59" i="3" s="1"/>
  <c r="M58" i="3"/>
  <c r="P58" i="3" s="1"/>
  <c r="M57" i="3"/>
  <c r="P57" i="3" s="1"/>
  <c r="M56" i="3"/>
  <c r="P56" i="3" s="1"/>
  <c r="M55" i="3"/>
  <c r="P55" i="3" s="1"/>
  <c r="M54" i="3"/>
  <c r="P54" i="3" s="1"/>
  <c r="M53" i="3"/>
  <c r="P53" i="3" s="1"/>
  <c r="M52" i="3"/>
  <c r="P52" i="3" s="1"/>
  <c r="M51" i="3"/>
  <c r="P51" i="3" s="1"/>
  <c r="M50" i="3"/>
  <c r="P50" i="3" s="1"/>
  <c r="M49" i="3"/>
  <c r="P49" i="3" s="1"/>
  <c r="M48" i="3"/>
  <c r="P48" i="3" s="1"/>
  <c r="M47" i="3"/>
  <c r="P47" i="3" s="1"/>
  <c r="M46" i="3"/>
  <c r="P46" i="3" s="1"/>
  <c r="M45" i="3"/>
  <c r="P45" i="3" s="1"/>
  <c r="M44" i="3"/>
  <c r="P44" i="3" s="1"/>
  <c r="M43" i="3"/>
  <c r="P43" i="3" s="1"/>
  <c r="M42" i="3"/>
  <c r="P42" i="3" s="1"/>
  <c r="M41" i="3"/>
  <c r="P41" i="3" s="1"/>
  <c r="M40" i="3"/>
  <c r="P40" i="3" s="1"/>
  <c r="M39" i="3"/>
  <c r="P39" i="3" s="1"/>
  <c r="M38" i="3"/>
  <c r="P38" i="3" s="1"/>
  <c r="M37" i="3"/>
  <c r="P37" i="3" s="1"/>
  <c r="M36" i="3"/>
  <c r="P36" i="3" s="1"/>
  <c r="M35" i="3"/>
  <c r="P35" i="3" s="1"/>
  <c r="M34" i="3"/>
  <c r="P34" i="3" s="1"/>
  <c r="M33" i="3"/>
  <c r="M48" i="4"/>
  <c r="P48" i="4" s="1"/>
  <c r="M47" i="4"/>
  <c r="P47" i="4" s="1"/>
  <c r="M46" i="4"/>
  <c r="P46" i="4" s="1"/>
  <c r="M45" i="4"/>
  <c r="P45" i="4" s="1"/>
  <c r="M44" i="4"/>
  <c r="P44" i="4" s="1"/>
  <c r="M43" i="4"/>
  <c r="P43" i="4" s="1"/>
  <c r="M42" i="4"/>
  <c r="P42" i="4" s="1"/>
  <c r="M41" i="4"/>
  <c r="P41" i="4" s="1"/>
  <c r="M40" i="4"/>
  <c r="P40" i="4" s="1"/>
  <c r="M39" i="4"/>
  <c r="P39" i="4" s="1"/>
  <c r="M38" i="4"/>
  <c r="P38" i="4" s="1"/>
  <c r="M37" i="4"/>
  <c r="P37" i="4" s="1"/>
  <c r="M36" i="4"/>
  <c r="P36" i="4" s="1"/>
  <c r="M35" i="4"/>
  <c r="P35" i="4" s="1"/>
  <c r="M34" i="4"/>
  <c r="P34" i="4" s="1"/>
  <c r="M33" i="4"/>
  <c r="P33" i="4" s="1"/>
  <c r="M32" i="4"/>
  <c r="P32" i="4" s="1"/>
  <c r="M31" i="4"/>
  <c r="P31" i="4" s="1"/>
  <c r="M30" i="4"/>
  <c r="P30" i="4" s="1"/>
  <c r="M29" i="4"/>
  <c r="P29" i="4" s="1"/>
  <c r="M28" i="4"/>
  <c r="P28" i="4" s="1"/>
  <c r="M27" i="4"/>
  <c r="P27" i="4" s="1"/>
  <c r="M26" i="4"/>
  <c r="P26" i="4" s="1"/>
  <c r="M25" i="4"/>
  <c r="P25" i="4" s="1"/>
  <c r="M24" i="4"/>
  <c r="P24" i="4" s="1"/>
  <c r="M23" i="4"/>
  <c r="P23" i="4" s="1"/>
  <c r="M22" i="4"/>
  <c r="P22" i="4" s="1"/>
  <c r="M18" i="4"/>
  <c r="CM60" i="2"/>
  <c r="CD60" i="2"/>
  <c r="BU60" i="2"/>
  <c r="BL60" i="2"/>
  <c r="BC60" i="2"/>
  <c r="AT60" i="2"/>
  <c r="AK60" i="2"/>
  <c r="AB60" i="2"/>
  <c r="S60" i="2"/>
  <c r="CM23" i="2"/>
  <c r="CD23" i="2"/>
  <c r="BU23" i="2"/>
  <c r="BL23" i="2"/>
  <c r="BC23" i="2"/>
  <c r="AT23" i="2"/>
  <c r="AK23" i="2"/>
  <c r="AB23" i="2"/>
  <c r="S23" i="2"/>
  <c r="J23" i="2"/>
  <c r="M21" i="4"/>
  <c r="P21" i="4" s="1"/>
  <c r="M20" i="4"/>
  <c r="P20" i="4" s="1"/>
  <c r="M19" i="4"/>
  <c r="P19" i="4" s="1"/>
  <c r="AV12" i="7" l="1"/>
  <c r="AV11" i="7"/>
  <c r="AV10" i="7"/>
  <c r="AV9" i="7"/>
  <c r="AV8" i="7"/>
  <c r="AV7" i="7"/>
  <c r="AV6" i="7"/>
  <c r="AV5" i="7"/>
  <c r="AV4" i="7"/>
  <c r="AV3" i="7"/>
  <c r="CM36" i="2" l="1"/>
  <c r="CD36" i="2"/>
  <c r="BU36" i="2"/>
  <c r="BL36" i="2"/>
  <c r="BC36" i="2"/>
  <c r="AT36" i="2"/>
  <c r="AK36" i="2"/>
  <c r="AB36" i="2"/>
  <c r="S36" i="2"/>
  <c r="J53" i="2"/>
  <c r="J18" i="18" l="1"/>
  <c r="AD29" i="3" l="1"/>
  <c r="A12" i="3"/>
  <c r="A11" i="3"/>
  <c r="A10" i="3"/>
  <c r="A9" i="3"/>
  <c r="A8" i="3"/>
  <c r="A7" i="3"/>
  <c r="A6" i="3"/>
  <c r="A5" i="3"/>
  <c r="A4" i="3"/>
  <c r="A3" i="3"/>
  <c r="U60" i="3" l="1"/>
  <c r="AT29" i="3"/>
  <c r="AX29" i="3"/>
  <c r="AL29" i="3"/>
  <c r="AR29" i="3"/>
  <c r="AJ29" i="3"/>
  <c r="AB29" i="3"/>
  <c r="T29" i="3"/>
  <c r="L29" i="3"/>
  <c r="H29" i="3"/>
  <c r="AP29" i="3"/>
  <c r="AH29" i="3"/>
  <c r="Z29" i="3"/>
  <c r="R29" i="3"/>
  <c r="J29" i="3"/>
  <c r="V29" i="3"/>
  <c r="N29" i="3"/>
  <c r="AV29" i="3"/>
  <c r="AN29" i="3"/>
  <c r="AF29" i="3"/>
  <c r="X29" i="3"/>
  <c r="P29" i="3"/>
  <c r="A12" i="4"/>
  <c r="A11" i="4"/>
  <c r="A10" i="4"/>
  <c r="A9" i="4"/>
  <c r="A8" i="4"/>
  <c r="A7" i="4"/>
  <c r="A6" i="4"/>
  <c r="A5" i="4"/>
  <c r="A4" i="4"/>
  <c r="A3" i="4"/>
  <c r="BL53" i="2"/>
  <c r="AT53" i="2"/>
  <c r="AB53" i="2"/>
  <c r="BU53" i="2"/>
  <c r="CM53" i="2"/>
  <c r="CD53" i="2"/>
  <c r="BC53" i="2"/>
  <c r="S53" i="2"/>
  <c r="AK53" i="2"/>
  <c r="BC15" i="2"/>
  <c r="AK15" i="2"/>
  <c r="BL15" i="2"/>
  <c r="S15" i="2"/>
  <c r="AB15" i="2"/>
  <c r="BU15" i="2"/>
  <c r="J15" i="2"/>
  <c r="CD15" i="2"/>
  <c r="CM15" i="2"/>
  <c r="AT15" i="2"/>
  <c r="J11" i="18" l="1"/>
  <c r="J14" i="18"/>
  <c r="J17" i="18"/>
  <c r="J15" i="18"/>
  <c r="J16" i="18"/>
  <c r="J12" i="18"/>
  <c r="J13" i="18"/>
  <c r="J18" i="2"/>
  <c r="BC16" i="2"/>
  <c r="BL16" i="2"/>
  <c r="AK16" i="2"/>
  <c r="CD16" i="2"/>
  <c r="BU16" i="2"/>
  <c r="AB16" i="2"/>
  <c r="AT16" i="2"/>
  <c r="J16" i="2"/>
  <c r="S16" i="2"/>
  <c r="CM16" i="2"/>
  <c r="U38" i="3"/>
  <c r="U53" i="3"/>
  <c r="U46" i="3"/>
  <c r="U34" i="3"/>
  <c r="U37" i="3"/>
  <c r="U52" i="3"/>
  <c r="U57" i="3"/>
  <c r="U44" i="3"/>
  <c r="U56" i="3"/>
  <c r="U58" i="3"/>
  <c r="U48" i="3"/>
  <c r="U63" i="3"/>
  <c r="U41" i="3"/>
  <c r="U36" i="3"/>
  <c r="U49" i="3"/>
  <c r="U43" i="3"/>
  <c r="U40" i="3"/>
  <c r="U42" i="3"/>
  <c r="U47" i="3"/>
  <c r="U45" i="3"/>
  <c r="U55" i="3"/>
  <c r="U51" i="3"/>
  <c r="U61" i="3"/>
  <c r="U50" i="3"/>
  <c r="U39" i="3"/>
  <c r="U35" i="3"/>
  <c r="U54" i="3"/>
  <c r="U59" i="3"/>
  <c r="U62" i="3"/>
  <c r="AW12" i="7"/>
  <c r="AW11" i="7"/>
  <c r="AW10" i="7"/>
  <c r="AW9" i="7"/>
  <c r="AW8" i="7"/>
  <c r="AW7" i="7"/>
  <c r="AW6" i="7"/>
  <c r="AW5" i="7"/>
  <c r="AW4" i="7"/>
  <c r="AW3" i="7"/>
  <c r="F9" i="3"/>
  <c r="F12" i="3"/>
  <c r="F11" i="3"/>
  <c r="F10" i="3"/>
  <c r="F8" i="3"/>
  <c r="F3" i="3"/>
  <c r="F6" i="3"/>
  <c r="F4" i="3"/>
  <c r="F7" i="3"/>
  <c r="F5" i="3"/>
  <c r="F10" i="4"/>
  <c r="F11" i="4"/>
  <c r="F12" i="4"/>
  <c r="F9" i="4"/>
  <c r="F8" i="4"/>
  <c r="F7" i="4"/>
  <c r="F6" i="4"/>
  <c r="F4" i="4"/>
  <c r="F5" i="4"/>
  <c r="F3" i="4"/>
  <c r="CM18" i="2"/>
  <c r="S18" i="2"/>
  <c r="BC18" i="2"/>
  <c r="AT18" i="2"/>
  <c r="BU18" i="2"/>
  <c r="AK18" i="2"/>
  <c r="CD18" i="2"/>
  <c r="BL18" i="2"/>
  <c r="AB18" i="2"/>
  <c r="AT64" i="2"/>
  <c r="H3" i="3" a="1"/>
  <c r="H8" i="3" a="1"/>
  <c r="H11" i="3" a="1"/>
  <c r="H10" i="3" a="1"/>
  <c r="CD64" i="2"/>
  <c r="BL64" i="2"/>
  <c r="S64" i="2"/>
  <c r="BU64" i="2"/>
  <c r="H6" i="3" a="1"/>
  <c r="H4" i="3" a="1"/>
  <c r="J64" i="2"/>
  <c r="AB64" i="2"/>
  <c r="H5" i="3" a="1"/>
  <c r="BC64" i="2"/>
  <c r="AK64" i="2"/>
  <c r="CM64" i="2"/>
  <c r="H12" i="3" a="1"/>
  <c r="H9" i="3" a="1"/>
  <c r="H7" i="3" a="1"/>
  <c r="I16" i="18" l="1"/>
  <c r="I14" i="18"/>
  <c r="I13" i="18"/>
  <c r="I15" i="18"/>
  <c r="I11" i="18"/>
  <c r="I18" i="18"/>
  <c r="I17" i="18"/>
  <c r="I12" i="18"/>
  <c r="Q4" i="4"/>
  <c r="N4" i="4"/>
  <c r="H4" i="4"/>
  <c r="K4" i="4"/>
  <c r="K6" i="4"/>
  <c r="H6" i="4"/>
  <c r="N6" i="4"/>
  <c r="Q6" i="4"/>
  <c r="Q11" i="4"/>
  <c r="N11" i="4"/>
  <c r="K11" i="4"/>
  <c r="H11" i="4"/>
  <c r="H8" i="4"/>
  <c r="Q8" i="4"/>
  <c r="N8" i="4"/>
  <c r="K8" i="4"/>
  <c r="Q9" i="4"/>
  <c r="N9" i="4"/>
  <c r="K9" i="4"/>
  <c r="H9" i="4"/>
  <c r="H12" i="4"/>
  <c r="Q12" i="4"/>
  <c r="N12" i="4"/>
  <c r="K12" i="4"/>
  <c r="Q5" i="4"/>
  <c r="N5" i="4"/>
  <c r="K5" i="4"/>
  <c r="H5" i="4"/>
  <c r="H10" i="4"/>
  <c r="Q10" i="4"/>
  <c r="N10" i="4"/>
  <c r="K10" i="4"/>
  <c r="Q3" i="4"/>
  <c r="N3" i="4"/>
  <c r="K3" i="4"/>
  <c r="H3" i="4"/>
  <c r="Q7" i="4"/>
  <c r="N7" i="4"/>
  <c r="K7" i="4"/>
  <c r="H7" i="4"/>
  <c r="V23" i="4"/>
  <c r="V20" i="4"/>
  <c r="V24" i="4"/>
  <c r="V40" i="4"/>
  <c r="V25" i="4"/>
  <c r="V44" i="4"/>
  <c r="V32" i="4"/>
  <c r="V31" i="4"/>
  <c r="V26" i="4"/>
  <c r="V35" i="4"/>
  <c r="V29" i="4"/>
  <c r="V30" i="4"/>
  <c r="V48" i="4"/>
  <c r="V39" i="4"/>
  <c r="V37" i="4"/>
  <c r="V46" i="4"/>
  <c r="V36" i="4"/>
  <c r="V27" i="4"/>
  <c r="V22" i="4"/>
  <c r="V34" i="4"/>
  <c r="V33" i="4"/>
  <c r="V43" i="4"/>
  <c r="V45" i="4"/>
  <c r="V38" i="4"/>
  <c r="V41" i="4"/>
  <c r="V47" i="4"/>
  <c r="V42" i="4"/>
  <c r="V21" i="4"/>
  <c r="V28" i="4"/>
  <c r="V19" i="4"/>
  <c r="AB9" i="3"/>
  <c r="J9" i="3"/>
  <c r="R9" i="3"/>
  <c r="Z9" i="3"/>
  <c r="X9" i="3"/>
  <c r="Y9" i="3"/>
  <c r="O9" i="3"/>
  <c r="Q9" i="3"/>
  <c r="H9" i="3"/>
  <c r="K9" i="3"/>
  <c r="M9" i="3"/>
  <c r="P9" i="3"/>
  <c r="S9" i="3"/>
  <c r="U9" i="3"/>
  <c r="I9" i="3"/>
  <c r="AA9" i="3"/>
  <c r="AC9" i="3"/>
  <c r="N9" i="3"/>
  <c r="V9" i="3"/>
  <c r="W9" i="3"/>
  <c r="L9" i="3"/>
  <c r="T9" i="3"/>
  <c r="N12" i="3"/>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I19" i="3"/>
  <c r="L22" i="3"/>
  <c r="W20" i="3"/>
  <c r="P15" i="3"/>
  <c r="AA19" i="3"/>
  <c r="W22" i="3"/>
  <c r="P19" i="3"/>
  <c r="J15" i="3"/>
  <c r="J20" i="3"/>
  <c r="S19" i="3"/>
  <c r="S20" i="3"/>
  <c r="P22" i="3"/>
  <c r="AA22" i="3"/>
  <c r="Y15" i="3"/>
  <c r="X20" i="3"/>
  <c r="T19" i="3"/>
  <c r="AA15" i="3"/>
  <c r="R19" i="3"/>
  <c r="L19" i="3"/>
  <c r="W15" i="3"/>
  <c r="Z22" i="3"/>
  <c r="N22" i="3"/>
  <c r="S15" i="3"/>
  <c r="M19" i="3"/>
  <c r="T15" i="3"/>
  <c r="H20" i="3"/>
  <c r="T22" i="3"/>
  <c r="AB15" i="3"/>
  <c r="AC20" i="3"/>
  <c r="H19" i="3"/>
  <c r="Y22" i="3"/>
  <c r="I22" i="3"/>
  <c r="R20" i="3"/>
  <c r="J22" i="3"/>
  <c r="U19" i="3"/>
  <c r="V15" i="3"/>
  <c r="O15" i="3"/>
  <c r="Q19" i="3"/>
  <c r="H22" i="3"/>
  <c r="H15" i="3"/>
  <c r="U15" i="3"/>
  <c r="X22" i="3"/>
  <c r="M20" i="3"/>
  <c r="AB19" i="3"/>
  <c r="Q15" i="3"/>
  <c r="W19" i="3"/>
  <c r="O22" i="3"/>
  <c r="AC19" i="3"/>
  <c r="U20" i="3"/>
  <c r="X15" i="3"/>
  <c r="Y19" i="3"/>
  <c r="N15" i="3"/>
  <c r="AC15" i="3"/>
  <c r="V22" i="3"/>
  <c r="Q22" i="3"/>
  <c r="I20" i="3"/>
  <c r="Z19" i="3"/>
  <c r="AB20" i="3"/>
  <c r="M22" i="3"/>
  <c r="K22" i="3"/>
  <c r="K20" i="3"/>
  <c r="M15" i="3"/>
  <c r="S22" i="3"/>
  <c r="K19" i="3"/>
  <c r="R15" i="3"/>
  <c r="AB22" i="3"/>
  <c r="K15" i="3"/>
  <c r="Q20" i="3"/>
  <c r="AA20" i="3"/>
  <c r="N19" i="3"/>
  <c r="N20" i="3"/>
  <c r="V19" i="3"/>
  <c r="U22" i="3"/>
  <c r="I15" i="3"/>
  <c r="X19" i="3"/>
  <c r="O19" i="3"/>
  <c r="Z15" i="3"/>
  <c r="L20" i="3"/>
  <c r="Y20" i="3"/>
  <c r="R22" i="3"/>
  <c r="Z20" i="3"/>
  <c r="AC22" i="3"/>
  <c r="T20" i="3"/>
  <c r="O20" i="3"/>
  <c r="J19" i="3"/>
  <c r="L15" i="3"/>
  <c r="P20" i="3"/>
  <c r="V20" i="3"/>
  <c r="H14" i="4" l="1"/>
  <c r="N14" i="4" s="1"/>
  <c r="AA3" i="4"/>
  <c r="AD3" i="4"/>
  <c r="U3" i="4"/>
  <c r="X3" i="4"/>
  <c r="B2" i="18" l="1"/>
  <c r="H15" i="4"/>
  <c r="AB36" i="4"/>
  <c r="AB19" i="4"/>
  <c r="AB43" i="4"/>
  <c r="AB30" i="4"/>
  <c r="AB38" i="4"/>
  <c r="AB34" i="4"/>
  <c r="AB26" i="4"/>
  <c r="AB27" i="4"/>
  <c r="AB23" i="4"/>
  <c r="AB32" i="4"/>
  <c r="AB39" i="4"/>
  <c r="AB31" i="4"/>
  <c r="AB45" i="4"/>
  <c r="AB24" i="4"/>
  <c r="AB28" i="4"/>
  <c r="AB42" i="4"/>
  <c r="AB41" i="4"/>
  <c r="AB21" i="4"/>
  <c r="AB37" i="4"/>
  <c r="AB48" i="4"/>
  <c r="AB22" i="4"/>
  <c r="AB33" i="4"/>
  <c r="AB44" i="4"/>
  <c r="AB20" i="4"/>
  <c r="AB47" i="4"/>
  <c r="AB29" i="4"/>
  <c r="AB40" i="4"/>
  <c r="AB46" i="4"/>
  <c r="AB35" i="4"/>
  <c r="AB25" i="4"/>
  <c r="Z62" i="3"/>
  <c r="Z47" i="3"/>
  <c r="Z38" i="3"/>
  <c r="Z35" i="3"/>
  <c r="Z50" i="3"/>
  <c r="Z63" i="3"/>
  <c r="Z54" i="3"/>
  <c r="Z41" i="3"/>
  <c r="Z58" i="3"/>
  <c r="Z45" i="3"/>
  <c r="Z43" i="3"/>
  <c r="Z52" i="3"/>
  <c r="Z51" i="3"/>
  <c r="Z57" i="3"/>
  <c r="Z55" i="3"/>
  <c r="Z61" i="3"/>
  <c r="Z59" i="3"/>
  <c r="Z42" i="3"/>
  <c r="Z40" i="3"/>
  <c r="Z39" i="3"/>
  <c r="Z44" i="3"/>
  <c r="Z36" i="3"/>
  <c r="Z48" i="3"/>
  <c r="Z53" i="3"/>
  <c r="Z56" i="3"/>
  <c r="Z46" i="3"/>
  <c r="Z60" i="3"/>
  <c r="Z37" i="3"/>
  <c r="Z49" i="3"/>
  <c r="Z34" i="3"/>
  <c r="AA21" i="3"/>
  <c r="Q23" i="3"/>
  <c r="Y23" i="3"/>
  <c r="R17" i="3"/>
  <c r="W14" i="3"/>
  <c r="Q17" i="3"/>
  <c r="M23" i="3"/>
  <c r="S21" i="3"/>
  <c r="N16" i="3"/>
  <c r="AA14" i="3"/>
  <c r="Y18" i="3"/>
  <c r="V23" i="3"/>
  <c r="K21" i="3"/>
  <c r="N17" i="3"/>
  <c r="X23" i="3"/>
  <c r="I18" i="3"/>
  <c r="S23" i="3"/>
  <c r="I17" i="3"/>
  <c r="P18" i="3"/>
  <c r="V18" i="3"/>
  <c r="J21" i="3"/>
  <c r="L23" i="3"/>
  <c r="AC14" i="3"/>
  <c r="P14" i="3"/>
  <c r="W23" i="3"/>
  <c r="O14" i="3"/>
  <c r="U21" i="3"/>
  <c r="M14" i="3"/>
  <c r="AB23" i="3"/>
  <c r="AB14" i="3"/>
  <c r="W17" i="3"/>
  <c r="P16" i="3"/>
  <c r="Q21" i="3"/>
  <c r="X14" i="3"/>
  <c r="Y21" i="3"/>
  <c r="R23" i="3"/>
  <c r="O23" i="3"/>
  <c r="H18" i="3"/>
  <c r="Y14" i="3"/>
  <c r="Q14" i="3"/>
  <c r="I23" i="3"/>
  <c r="V21" i="3"/>
  <c r="I14" i="3"/>
  <c r="I16" i="3"/>
  <c r="L21" i="3"/>
  <c r="T23" i="3"/>
  <c r="L17" i="3"/>
  <c r="T18" i="3"/>
  <c r="M17" i="3"/>
  <c r="Q16" i="3"/>
  <c r="AC21" i="3"/>
  <c r="Z14" i="3"/>
  <c r="J17" i="3"/>
  <c r="U23" i="3"/>
  <c r="AB16" i="3"/>
  <c r="H23" i="3"/>
  <c r="L18" i="3"/>
  <c r="AA17" i="3"/>
  <c r="N21" i="3"/>
  <c r="K23" i="3"/>
  <c r="O17" i="3"/>
  <c r="U14" i="3"/>
  <c r="L14" i="3"/>
  <c r="R14" i="3"/>
  <c r="Z21" i="3"/>
  <c r="AA18" i="3"/>
  <c r="P23" i="3"/>
  <c r="M18" i="3"/>
  <c r="W16" i="3"/>
  <c r="S14" i="3"/>
  <c r="P21" i="3"/>
  <c r="AA16" i="3"/>
  <c r="J14" i="3"/>
  <c r="Z18" i="3"/>
  <c r="T21" i="3"/>
  <c r="T14" i="3"/>
  <c r="AC18" i="3"/>
  <c r="N23" i="3"/>
  <c r="Z17" i="3"/>
  <c r="AC16" i="3"/>
  <c r="M16" i="3"/>
  <c r="S18" i="3"/>
  <c r="Y16" i="3"/>
  <c r="H14" i="3"/>
  <c r="K16" i="3"/>
  <c r="Q18" i="3"/>
  <c r="U17" i="3"/>
  <c r="J18" i="3"/>
  <c r="V14" i="3"/>
  <c r="O18" i="3"/>
  <c r="W18" i="3"/>
  <c r="V16" i="3"/>
  <c r="W21" i="3"/>
  <c r="T16" i="3"/>
  <c r="AC17" i="3"/>
  <c r="P17" i="3"/>
  <c r="Z16" i="3"/>
  <c r="X17" i="3"/>
  <c r="V17" i="3"/>
  <c r="J23" i="3"/>
  <c r="Z23" i="3"/>
  <c r="T17" i="3"/>
  <c r="I21" i="3"/>
  <c r="H16" i="3"/>
  <c r="U16" i="3"/>
  <c r="R21" i="3"/>
  <c r="K14" i="3"/>
  <c r="AB21" i="3"/>
  <c r="R16" i="3"/>
  <c r="S17" i="3"/>
  <c r="O21" i="3"/>
  <c r="O16" i="3"/>
  <c r="M21" i="3"/>
  <c r="K18" i="3"/>
  <c r="X16" i="3"/>
  <c r="K17" i="3"/>
  <c r="H21" i="3"/>
  <c r="X21" i="3"/>
  <c r="Y17" i="3"/>
  <c r="AA23" i="3"/>
  <c r="U18" i="3"/>
  <c r="AB17" i="3"/>
  <c r="AB18" i="3"/>
  <c r="H17" i="3"/>
  <c r="R18" i="3"/>
  <c r="N18" i="3"/>
  <c r="AC23" i="3"/>
  <c r="J16" i="3"/>
  <c r="L16" i="3"/>
  <c r="N14" i="3"/>
  <c r="S16" i="3"/>
  <c r="X18"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Tech Fellow Admin Account</author>
  </authors>
  <commentList>
    <comment ref="C2" authorId="0" shapeId="0" xr:uid="{00000000-0006-0000-0100-000001000000}">
      <text>
        <r>
          <rPr>
            <b/>
            <sz val="9"/>
            <color indexed="81"/>
            <rFont val="Tahoma"/>
            <family val="2"/>
          </rPr>
          <t>Must sum to 1</t>
        </r>
      </text>
    </comment>
  </commentList>
</comments>
</file>

<file path=xl/sharedStrings.xml><?xml version="1.0" encoding="utf-8"?>
<sst xmlns="http://schemas.openxmlformats.org/spreadsheetml/2006/main" count="1701" uniqueCount="837">
  <si>
    <t>Yes/No</t>
  </si>
  <si>
    <t>EXP Thresholds</t>
  </si>
  <si>
    <t>Encounter Multipliers</t>
  </si>
  <si>
    <t>Numb</t>
  </si>
  <si>
    <t>Encounter Difficulty</t>
  </si>
  <si>
    <t>CR to XP</t>
  </si>
  <si>
    <t>Ratios</t>
  </si>
  <si>
    <t>PlayerLevel</t>
  </si>
  <si>
    <t>Legitimate Sources</t>
  </si>
  <si>
    <t>Active Players</t>
  </si>
  <si>
    <t>Beholder Eye Rays</t>
  </si>
  <si>
    <t>Magic Item Value</t>
  </si>
  <si>
    <t>YesNo</t>
  </si>
  <si>
    <t>Level</t>
  </si>
  <si>
    <t>Easy</t>
  </si>
  <si>
    <t>Medium</t>
  </si>
  <si>
    <t>Hard</t>
  </si>
  <si>
    <t>Deadly</t>
  </si>
  <si>
    <t>Enemies</t>
  </si>
  <si>
    <t>Multiplier</t>
  </si>
  <si>
    <t>Numbers</t>
  </si>
  <si>
    <t>Character Level</t>
  </si>
  <si>
    <t>CR</t>
  </si>
  <si>
    <t>EXP</t>
  </si>
  <si>
    <t>1/8</t>
  </si>
  <si>
    <t>1/4</t>
  </si>
  <si>
    <t>1/2</t>
  </si>
  <si>
    <t>1</t>
  </si>
  <si>
    <t>2</t>
  </si>
  <si>
    <t>3</t>
  </si>
  <si>
    <t>4</t>
  </si>
  <si>
    <t>5</t>
  </si>
  <si>
    <t>6</t>
  </si>
  <si>
    <t>7</t>
  </si>
  <si>
    <t>8</t>
  </si>
  <si>
    <t>9</t>
  </si>
  <si>
    <t>10</t>
  </si>
  <si>
    <t>11</t>
  </si>
  <si>
    <t>12</t>
  </si>
  <si>
    <t>13</t>
  </si>
  <si>
    <t>14</t>
  </si>
  <si>
    <t>15</t>
  </si>
  <si>
    <t>16</t>
  </si>
  <si>
    <t>17</t>
  </si>
  <si>
    <t>18</t>
  </si>
  <si>
    <t>19</t>
  </si>
  <si>
    <t>20</t>
  </si>
  <si>
    <t>Player</t>
  </si>
  <si>
    <t>Name</t>
  </si>
  <si>
    <t>Active</t>
  </si>
  <si>
    <t>Names</t>
  </si>
  <si>
    <t>Rarity</t>
  </si>
  <si>
    <t>Value Range</t>
  </si>
  <si>
    <t>1st</t>
  </si>
  <si>
    <t>Baldur's Gate: Descent Into Avernus</t>
  </si>
  <si>
    <t>Charm Ray</t>
  </si>
  <si>
    <t>Common</t>
  </si>
  <si>
    <t>50-100 gp</t>
  </si>
  <si>
    <t>✓</t>
  </si>
  <si>
    <t>2nd</t>
  </si>
  <si>
    <t>Curse of Strahd</t>
  </si>
  <si>
    <t>Paralyzing Ray</t>
  </si>
  <si>
    <t>Uncommon</t>
  </si>
  <si>
    <t>101-500 gp</t>
  </si>
  <si>
    <t>3rd</t>
  </si>
  <si>
    <t>Dungeon Master's Guide</t>
  </si>
  <si>
    <t>Fear Ray</t>
  </si>
  <si>
    <t>Rare</t>
  </si>
  <si>
    <t>501-5000 gp</t>
  </si>
  <si>
    <t>4th</t>
  </si>
  <si>
    <t>Dungeons &amp; Dragons Essentials Kit</t>
  </si>
  <si>
    <t>Slowing Ray</t>
  </si>
  <si>
    <t>Very Rare</t>
  </si>
  <si>
    <t>5001-50000 gp</t>
  </si>
  <si>
    <t>5th</t>
  </si>
  <si>
    <t>Dungeons &amp; Dragons vs. Rick and Morty</t>
  </si>
  <si>
    <t>Enervation Ray</t>
  </si>
  <si>
    <t>Legendary</t>
  </si>
  <si>
    <t>500001+ gp</t>
  </si>
  <si>
    <t>6th</t>
  </si>
  <si>
    <t>Eberron: Rising From The Last War</t>
  </si>
  <si>
    <t>Telekinetic Ray</t>
  </si>
  <si>
    <t>Artifact</t>
  </si>
  <si>
    <t>Priceless</t>
  </si>
  <si>
    <t>7th</t>
  </si>
  <si>
    <t>Elemental Evil Player's Companion</t>
  </si>
  <si>
    <t>Sleep Ray</t>
  </si>
  <si>
    <t>8th</t>
  </si>
  <si>
    <t>Ghosts of Saltmarsh</t>
  </si>
  <si>
    <t>Petrification Ray</t>
  </si>
  <si>
    <t>9th</t>
  </si>
  <si>
    <t>Guildmasters' Guide to Ravnica</t>
  </si>
  <si>
    <t>Disintegration Ray</t>
  </si>
  <si>
    <t>10th</t>
  </si>
  <si>
    <t>Hoard of the Dragon Queen</t>
  </si>
  <si>
    <t>Death Ray</t>
  </si>
  <si>
    <t>11th</t>
  </si>
  <si>
    <t>Locathah Rising</t>
  </si>
  <si>
    <t>12th</t>
  </si>
  <si>
    <t>Lost Laboratory of Kwalish</t>
  </si>
  <si>
    <t>13th</t>
  </si>
  <si>
    <t>Monster Manual</t>
  </si>
  <si>
    <t>14th</t>
  </si>
  <si>
    <t>Mordenkainen's Tome of Foes</t>
  </si>
  <si>
    <t>15th</t>
  </si>
  <si>
    <t>One Grung Above</t>
  </si>
  <si>
    <t>16th</t>
  </si>
  <si>
    <t>Out of the Abyss</t>
  </si>
  <si>
    <t>17th</t>
  </si>
  <si>
    <t>Player's Handbook</t>
  </si>
  <si>
    <t>18th</t>
  </si>
  <si>
    <t>Princes of the Apocalypse</t>
  </si>
  <si>
    <t>19th</t>
  </si>
  <si>
    <t>Starter Set</t>
  </si>
  <si>
    <t>20th</t>
  </si>
  <si>
    <t>Storm King's Thunder</t>
  </si>
  <si>
    <t>Stranger Things Dungeons &amp; Dragons Roleplaying Game Starter Set</t>
  </si>
  <si>
    <t>Sword Coast Adventurer's Guide</t>
  </si>
  <si>
    <t>Tales from the Yawning Portal</t>
  </si>
  <si>
    <t>The Lost Kenku</t>
  </si>
  <si>
    <t>The Rise of Tiamat</t>
  </si>
  <si>
    <t>The Tortle Package</t>
  </si>
  <si>
    <t>Tomb of Annihilation</t>
  </si>
  <si>
    <t>Tyranny of Dragons</t>
  </si>
  <si>
    <t>Volo's Guide to Monsters</t>
  </si>
  <si>
    <t>Waterdeep: Dragon Heist</t>
  </si>
  <si>
    <t>Waterdeep: Dungeon of the Mad Mage</t>
  </si>
  <si>
    <t>NA</t>
  </si>
  <si>
    <t>Wayfinder's Guide to Eberron</t>
  </si>
  <si>
    <t>Xanathar's Guide to Everything</t>
  </si>
  <si>
    <t>Acquisitions Incorporated</t>
  </si>
  <si>
    <t>Explorer's Guide to Wildemount</t>
  </si>
  <si>
    <t>Mythic Odysseys of Theros</t>
  </si>
  <si>
    <t>Icewind Dale</t>
  </si>
  <si>
    <t>Van Richten's Guide to Ravenloft</t>
  </si>
  <si>
    <t>Lingering Injuries</t>
  </si>
  <si>
    <t>Level Info</t>
  </si>
  <si>
    <t>Conditions</t>
  </si>
  <si>
    <t>Races</t>
  </si>
  <si>
    <t>Classes</t>
  </si>
  <si>
    <t>Armor</t>
  </si>
  <si>
    <t>Injury</t>
  </si>
  <si>
    <t>Effect</t>
  </si>
  <si>
    <t>d20</t>
  </si>
  <si>
    <t>XP</t>
  </si>
  <si>
    <t>Proficiency</t>
  </si>
  <si>
    <t>Condition</t>
  </si>
  <si>
    <t>Race</t>
  </si>
  <si>
    <t>Immunities/Resistances</t>
  </si>
  <si>
    <t>Lift/Carry</t>
  </si>
  <si>
    <t>Size</t>
  </si>
  <si>
    <t>Class</t>
  </si>
  <si>
    <t>Value</t>
  </si>
  <si>
    <t>Weight</t>
  </si>
  <si>
    <t>Properties</t>
  </si>
  <si>
    <t>Type</t>
  </si>
  <si>
    <t>Lose an Eye</t>
  </si>
  <si>
    <t>Blinded</t>
  </si>
  <si>
    <t>Aarakocra</t>
  </si>
  <si>
    <t>Medium Humanoid</t>
  </si>
  <si>
    <t>Barbarian</t>
  </si>
  <si>
    <t>Padded</t>
  </si>
  <si>
    <t>5gp</t>
  </si>
  <si>
    <t>8 lb.</t>
  </si>
  <si>
    <t>AC: 11+Dex Modifier. Stealth: Disadvantage</t>
  </si>
  <si>
    <t>Light Armor</t>
  </si>
  <si>
    <t>Lose an Arm or a Hand</t>
  </si>
  <si>
    <t>Charmed</t>
  </si>
  <si>
    <t>Air Genasi</t>
  </si>
  <si>
    <t>Bard</t>
  </si>
  <si>
    <t>Leather</t>
  </si>
  <si>
    <t>10gp</t>
  </si>
  <si>
    <t>10 lb.</t>
  </si>
  <si>
    <t>AC: 11+Dex Modifier.</t>
  </si>
  <si>
    <t>Lose a Foot or Leg</t>
  </si>
  <si>
    <t>Deafened</t>
  </si>
  <si>
    <t>Beasthide Shifter</t>
  </si>
  <si>
    <t>Cleric</t>
  </si>
  <si>
    <t>Studded Leather</t>
  </si>
  <si>
    <t>45gp</t>
  </si>
  <si>
    <t>13 lb.</t>
  </si>
  <si>
    <t>AC: 12+Dex Modifier.</t>
  </si>
  <si>
    <t>Limp</t>
  </si>
  <si>
    <t>Exhausted (LV1)</t>
  </si>
  <si>
    <t>Bugbear</t>
  </si>
  <si>
    <t>Druid</t>
  </si>
  <si>
    <t>Hide</t>
  </si>
  <si>
    <t>12 lb.</t>
  </si>
  <si>
    <t>AC: 12+Dex Modifier (Max 2)</t>
  </si>
  <si>
    <t>Medium Armor</t>
  </si>
  <si>
    <t>Internal Injury</t>
  </si>
  <si>
    <t>5-7</t>
  </si>
  <si>
    <t>Exhausted (LV2)</t>
  </si>
  <si>
    <t>Centaur</t>
  </si>
  <si>
    <t>Medium Fey</t>
  </si>
  <si>
    <t>Fighter</t>
  </si>
  <si>
    <t>Chain Shirt</t>
  </si>
  <si>
    <t>50gp</t>
  </si>
  <si>
    <t>20 lb.</t>
  </si>
  <si>
    <t>AC: 13+Dex Modifier (Max 2).</t>
  </si>
  <si>
    <t>Broken Ribs</t>
  </si>
  <si>
    <t>8-10</t>
  </si>
  <si>
    <t>Exhausted (LV3)</t>
  </si>
  <si>
    <t>Changeling</t>
  </si>
  <si>
    <t>Monk</t>
  </si>
  <si>
    <t>Scale Mail</t>
  </si>
  <si>
    <t>45 lb.</t>
  </si>
  <si>
    <t>AC: 14+Dex Modifier (Max 2). Stealth: Disadvantage</t>
  </si>
  <si>
    <t>Horrible Scar</t>
  </si>
  <si>
    <t>11-13</t>
  </si>
  <si>
    <t>Exhausted (LV4)</t>
  </si>
  <si>
    <t>Dark Elf (Drow)</t>
  </si>
  <si>
    <t>Paladin</t>
  </si>
  <si>
    <t>Breastplate</t>
  </si>
  <si>
    <t>400gp</t>
  </si>
  <si>
    <t>AC: 14+Dex Modifier (Max 2).</t>
  </si>
  <si>
    <t>Festering Wound</t>
  </si>
  <si>
    <t>14-16</t>
  </si>
  <si>
    <t>Exhausted (LV5)</t>
  </si>
  <si>
    <t>Deep Gnome (Svirfneblin)</t>
  </si>
  <si>
    <t>Small Humanoid</t>
  </si>
  <si>
    <t>Ranger</t>
  </si>
  <si>
    <t>Half Plate</t>
  </si>
  <si>
    <t>750gp</t>
  </si>
  <si>
    <t>40 lb.</t>
  </si>
  <si>
    <t>AC: 15+Dex Modifier (Max 2). Stealth: Disadvantage</t>
  </si>
  <si>
    <t>Minor Scar</t>
  </si>
  <si>
    <t>17-20</t>
  </si>
  <si>
    <t>Exhausted (LV6)</t>
  </si>
  <si>
    <t>Draconblood Dragonborn</t>
  </si>
  <si>
    <t>Rogue</t>
  </si>
  <si>
    <t>Ring Mail</t>
  </si>
  <si>
    <t>30gp</t>
  </si>
  <si>
    <t>AC: 14. Stealth: Disadvantage</t>
  </si>
  <si>
    <t>Heavy Armor</t>
  </si>
  <si>
    <t>Frightened</t>
  </si>
  <si>
    <t>Dragonborn</t>
  </si>
  <si>
    <t>Sorcerer</t>
  </si>
  <si>
    <t>Chain Mail</t>
  </si>
  <si>
    <t>75gp</t>
  </si>
  <si>
    <t>55 lb.</t>
  </si>
  <si>
    <t>AC: 16 Str 13. Stealth: Disadvantage</t>
  </si>
  <si>
    <t>Grappled</t>
  </si>
  <si>
    <t>Duergar</t>
  </si>
  <si>
    <t>Warlock</t>
  </si>
  <si>
    <t>Splint</t>
  </si>
  <si>
    <t>200gp</t>
  </si>
  <si>
    <t>60 lb.</t>
  </si>
  <si>
    <t>AC: 17 Str 15. Stealth: Disadvantage</t>
  </si>
  <si>
    <t>Incapacitated</t>
  </si>
  <si>
    <t>Earth Genasi</t>
  </si>
  <si>
    <t>Wizard</t>
  </si>
  <si>
    <t>Plate</t>
  </si>
  <si>
    <t>1500gp</t>
  </si>
  <si>
    <t>65 lb.</t>
  </si>
  <si>
    <t>AC: 18 Str 15. Stealth: Disadvantage</t>
  </si>
  <si>
    <t>Invisible</t>
  </si>
  <si>
    <t>Eladrin</t>
  </si>
  <si>
    <t>UA_Artificer</t>
  </si>
  <si>
    <t>Natural Armor: 12 + Con Modifier</t>
  </si>
  <si>
    <t>AC: 12+Con Modifier.</t>
  </si>
  <si>
    <t>Natural</t>
  </si>
  <si>
    <t>None</t>
  </si>
  <si>
    <t>Fallen Aasimar</t>
  </si>
  <si>
    <t>UA_Mystic</t>
  </si>
  <si>
    <t>Natural Armor: 13 + Dex Modifier</t>
  </si>
  <si>
    <t>AC: 13+Dex Modifier.</t>
  </si>
  <si>
    <t>Paralyzed</t>
  </si>
  <si>
    <t>Firbolg</t>
  </si>
  <si>
    <t>Natural Armor: 17</t>
  </si>
  <si>
    <t>AC: 17.</t>
  </si>
  <si>
    <t>Petrified</t>
  </si>
  <si>
    <t>Fire Genasi</t>
  </si>
  <si>
    <t>Poisoned</t>
  </si>
  <si>
    <t>Forest Gnome</t>
  </si>
  <si>
    <t>Prone</t>
  </si>
  <si>
    <t>Ghostwise Halfling</t>
  </si>
  <si>
    <t>Restrained</t>
  </si>
  <si>
    <t>Githyanki</t>
  </si>
  <si>
    <t>Stunned</t>
  </si>
  <si>
    <t>Githzerai</t>
  </si>
  <si>
    <t>Unconscious</t>
  </si>
  <si>
    <t>Goblin</t>
  </si>
  <si>
    <t>Goliath</t>
  </si>
  <si>
    <t>Grung</t>
  </si>
  <si>
    <t>Half-elf</t>
  </si>
  <si>
    <t>Half-orc</t>
  </si>
  <si>
    <t>High Elf</t>
  </si>
  <si>
    <t>Hill Dwarf</t>
  </si>
  <si>
    <t>Hobgoblin</t>
  </si>
  <si>
    <t>Hollow One</t>
  </si>
  <si>
    <t>Human</t>
  </si>
  <si>
    <t>Human (Variant)</t>
  </si>
  <si>
    <t>Kalashtar</t>
  </si>
  <si>
    <t>Kenku</t>
  </si>
  <si>
    <t>Kobold</t>
  </si>
  <si>
    <t>Lightfoot Halfling</t>
  </si>
  <si>
    <t>Lizardfolk</t>
  </si>
  <si>
    <t>Locathah</t>
  </si>
  <si>
    <t>Longtooth Shifter</t>
  </si>
  <si>
    <t>Lotusden Halfling</t>
  </si>
  <si>
    <t>Loxodon</t>
  </si>
  <si>
    <t>Minotaur</t>
  </si>
  <si>
    <t>Mountain Dwarf</t>
  </si>
  <si>
    <t>Orc</t>
  </si>
  <si>
    <t>Pallid Elf</t>
  </si>
  <si>
    <t>Protector Aasimar</t>
  </si>
  <si>
    <t>Ravenite Dragonborn</t>
  </si>
  <si>
    <t>Rock Gnome</t>
  </si>
  <si>
    <t>Scourge Aasimar</t>
  </si>
  <si>
    <t>Sea Elf</t>
  </si>
  <si>
    <t>Shadar-kai</t>
  </si>
  <si>
    <t>Simic Hybrid</t>
  </si>
  <si>
    <t>Stout Halfling (Stronghearts)</t>
  </si>
  <si>
    <t>Swiftstride Shifter</t>
  </si>
  <si>
    <t>Tabaxi</t>
  </si>
  <si>
    <t>Tiefling</t>
  </si>
  <si>
    <t>Tortle</t>
  </si>
  <si>
    <t>Triton</t>
  </si>
  <si>
    <t>Veldaken</t>
  </si>
  <si>
    <t>Verdan</t>
  </si>
  <si>
    <t>Warforged</t>
  </si>
  <si>
    <t>Water Genasi</t>
  </si>
  <si>
    <t>Wildhunt Shifter</t>
  </si>
  <si>
    <t>Wood Elf</t>
  </si>
  <si>
    <t>Yuan-Ti Pureblood</t>
  </si>
  <si>
    <t>Dhampir</t>
  </si>
  <si>
    <t>Medium/Small Humanoid</t>
  </si>
  <si>
    <t>Hexblood</t>
  </si>
  <si>
    <t>Reborn</t>
  </si>
  <si>
    <t>Clear Player Data</t>
  </si>
  <si>
    <t>Number of Players</t>
  </si>
  <si>
    <t>Award</t>
  </si>
  <si>
    <t>Search Tables</t>
  </si>
  <si>
    <t>Adam</t>
  </si>
  <si>
    <t>Beth</t>
  </si>
  <si>
    <t>Jack</t>
  </si>
  <si>
    <t>Character Name</t>
  </si>
  <si>
    <t>Exp Until Level Up</t>
  </si>
  <si>
    <t>Current EXP</t>
  </si>
  <si>
    <t>Proficiency Bonus</t>
  </si>
  <si>
    <t>Max HP</t>
  </si>
  <si>
    <t>Current HP</t>
  </si>
  <si>
    <t>Racial Immunities and Resistances</t>
  </si>
  <si>
    <t>Height</t>
  </si>
  <si>
    <t>6'7"</t>
  </si>
  <si>
    <t>5'11"</t>
  </si>
  <si>
    <t>Effects</t>
  </si>
  <si>
    <t>Concentration</t>
  </si>
  <si>
    <t>Sanity</t>
  </si>
  <si>
    <t>Honor</t>
  </si>
  <si>
    <t>Passive Perception</t>
  </si>
  <si>
    <t>STR</t>
  </si>
  <si>
    <t>DEX</t>
  </si>
  <si>
    <t>CON</t>
  </si>
  <si>
    <t>Initiative Modifier</t>
  </si>
  <si>
    <t>Carrying Capacity</t>
  </si>
  <si>
    <t>Shield</t>
  </si>
  <si>
    <t>Armor Statistics</t>
  </si>
  <si>
    <t>Special Modifiers</t>
  </si>
  <si>
    <t>AC</t>
  </si>
  <si>
    <t>Experience</t>
  </si>
  <si>
    <t xml:space="preserve">Generate Loot          </t>
  </si>
  <si>
    <t>Clear Defeated Enemies</t>
  </si>
  <si>
    <t>Award EXP</t>
  </si>
  <si>
    <t>Creature</t>
  </si>
  <si>
    <t>#</t>
  </si>
  <si>
    <t>Initiative</t>
  </si>
  <si>
    <t>HP Max</t>
  </si>
  <si>
    <t>Wound</t>
  </si>
  <si>
    <t>Unweighted EXP Value</t>
  </si>
  <si>
    <t>Source</t>
  </si>
  <si>
    <t>Small beast</t>
  </si>
  <si>
    <t>Tiny beast</t>
  </si>
  <si>
    <t>-</t>
  </si>
  <si>
    <t>Award Weighted EXP</t>
  </si>
  <si>
    <t>Auto Roll NPC Initiative</t>
  </si>
  <si>
    <t>Auto Roll Player Initiative</t>
  </si>
  <si>
    <t>Individual Exp Thresholds</t>
  </si>
  <si>
    <t>Party Exp Thresholds</t>
  </si>
  <si>
    <t>Encounter Total:</t>
  </si>
  <si>
    <t>Encounter Difficulty:</t>
  </si>
  <si>
    <t>Individual EXP</t>
  </si>
  <si>
    <t>Group EXP</t>
  </si>
  <si>
    <t>% of Total</t>
  </si>
  <si>
    <t>Rat</t>
  </si>
  <si>
    <t>Giant Rat</t>
  </si>
  <si>
    <t>Party</t>
  </si>
  <si>
    <t>Conversions</t>
  </si>
  <si>
    <t>Used</t>
  </si>
  <si>
    <t>Convert</t>
  </si>
  <si>
    <t>Creatures</t>
  </si>
  <si>
    <t>Encounter Name</t>
  </si>
  <si>
    <t>Creature 1</t>
  </si>
  <si>
    <t>Creature 2</t>
  </si>
  <si>
    <t>#2</t>
  </si>
  <si>
    <t>Creature 3</t>
  </si>
  <si>
    <t>#3</t>
  </si>
  <si>
    <t>Creature 4</t>
  </si>
  <si>
    <t>#4</t>
  </si>
  <si>
    <t>Creature 5</t>
  </si>
  <si>
    <t>#5</t>
  </si>
  <si>
    <t>Creature 6</t>
  </si>
  <si>
    <t>#6</t>
  </si>
  <si>
    <t>Creature 7</t>
  </si>
  <si>
    <t>#7</t>
  </si>
  <si>
    <t>Creature 8</t>
  </si>
  <si>
    <t>#8</t>
  </si>
  <si>
    <t>Creature 9</t>
  </si>
  <si>
    <t>#9</t>
  </si>
  <si>
    <t>Creature 10</t>
  </si>
  <si>
    <t>#10</t>
  </si>
  <si>
    <t>Creature 11</t>
  </si>
  <si>
    <t>#11</t>
  </si>
  <si>
    <t>Creature 12</t>
  </si>
  <si>
    <t>#12</t>
  </si>
  <si>
    <t>Creature 13</t>
  </si>
  <si>
    <t>#13</t>
  </si>
  <si>
    <t>Creature 14</t>
  </si>
  <si>
    <t>#14</t>
  </si>
  <si>
    <t>Creature 15</t>
  </si>
  <si>
    <t>#15</t>
  </si>
  <si>
    <t>Creature 16</t>
  </si>
  <si>
    <t>#16</t>
  </si>
  <si>
    <t>Creature 17</t>
  </si>
  <si>
    <t>#17</t>
  </si>
  <si>
    <t>Creature 18</t>
  </si>
  <si>
    <t>#18</t>
  </si>
  <si>
    <t>Creature 19</t>
  </si>
  <si>
    <t>#19</t>
  </si>
  <si>
    <t>Creature 20</t>
  </si>
  <si>
    <t>#20</t>
  </si>
  <si>
    <t>Creature 21</t>
  </si>
  <si>
    <t>#21</t>
  </si>
  <si>
    <t>Creature 22</t>
  </si>
  <si>
    <t>#22</t>
  </si>
  <si>
    <t>Creature 23</t>
  </si>
  <si>
    <t>#23</t>
  </si>
  <si>
    <t>Creature 24</t>
  </si>
  <si>
    <t>#24</t>
  </si>
  <si>
    <t>Creature 25</t>
  </si>
  <si>
    <t>#25</t>
  </si>
  <si>
    <t>Creature 26</t>
  </si>
  <si>
    <t>#26</t>
  </si>
  <si>
    <t>Creature 27</t>
  </si>
  <si>
    <t>#27</t>
  </si>
  <si>
    <t>Creature 28</t>
  </si>
  <si>
    <t>#28</t>
  </si>
  <si>
    <t>Creature 29</t>
  </si>
  <si>
    <t>#29</t>
  </si>
  <si>
    <t>Creature 30</t>
  </si>
  <si>
    <t>#30</t>
  </si>
  <si>
    <t>Rats</t>
  </si>
  <si>
    <t>Item</t>
  </si>
  <si>
    <t>% Chance</t>
  </si>
  <si>
    <t>Abacus</t>
  </si>
  <si>
    <t>Battleaxe</t>
  </si>
  <si>
    <t>Potion of healing</t>
  </si>
  <si>
    <t>Acid (vial)</t>
  </si>
  <si>
    <t>Flail</t>
  </si>
  <si>
    <t>Alchemist's fire (Flask)</t>
  </si>
  <si>
    <t>Glaive</t>
  </si>
  <si>
    <t>Amulet</t>
  </si>
  <si>
    <t>Greataxe</t>
  </si>
  <si>
    <t>Antitoxin (vial)</t>
  </si>
  <si>
    <t>Greatsword</t>
  </si>
  <si>
    <t>Backpack</t>
  </si>
  <si>
    <t>Halberd</t>
  </si>
  <si>
    <t>Ball bearings (bag of 1,000)</t>
  </si>
  <si>
    <t>Lance</t>
  </si>
  <si>
    <t>Bell</t>
  </si>
  <si>
    <t>Barrel</t>
  </si>
  <si>
    <t>Longsword</t>
  </si>
  <si>
    <t>Block and tackle</t>
  </si>
  <si>
    <t>Basket</t>
  </si>
  <si>
    <t>Maul</t>
  </si>
  <si>
    <t>Book</t>
  </si>
  <si>
    <t>Bedroll</t>
  </si>
  <si>
    <t>Morningstar</t>
  </si>
  <si>
    <t>Bottle, glass</t>
  </si>
  <si>
    <t>Pike</t>
  </si>
  <si>
    <t>Caltrops (bag of 20)</t>
  </si>
  <si>
    <t>Blanket</t>
  </si>
  <si>
    <t>Rapier</t>
  </si>
  <si>
    <t>Candle</t>
  </si>
  <si>
    <t>Scimitar</t>
  </si>
  <si>
    <t>Sheild</t>
  </si>
  <si>
    <t>Case, map or scroll</t>
  </si>
  <si>
    <t>Shortsword</t>
  </si>
  <si>
    <t>Chalk (1 piece)</t>
  </si>
  <si>
    <t>Trident</t>
  </si>
  <si>
    <t>Climber's kit</t>
  </si>
  <si>
    <t>Bucket</t>
  </si>
  <si>
    <t>War Pick</t>
  </si>
  <si>
    <t>Crowbar</t>
  </si>
  <si>
    <t>Warhammer</t>
  </si>
  <si>
    <t>Emblem</t>
  </si>
  <si>
    <t>Whip</t>
  </si>
  <si>
    <t>Fishing tackle</t>
  </si>
  <si>
    <t>Case, crossbow bolt</t>
  </si>
  <si>
    <t>Blowgun</t>
  </si>
  <si>
    <t>Flask or tankard</t>
  </si>
  <si>
    <t>Crossbow, hand</t>
  </si>
  <si>
    <t>Grappling hook</t>
  </si>
  <si>
    <t>Chain (10 feet)</t>
  </si>
  <si>
    <t>Crossbow, heavy</t>
  </si>
  <si>
    <t>Hammer</t>
  </si>
  <si>
    <t>Longbow</t>
  </si>
  <si>
    <t>Hammer, sledge</t>
  </si>
  <si>
    <t>Chest</t>
  </si>
  <si>
    <t>Net</t>
  </si>
  <si>
    <t>Healer's kit</t>
  </si>
  <si>
    <t>Double-bladed Scimitar</t>
  </si>
  <si>
    <t>Holy water (flask)</t>
  </si>
  <si>
    <t>Component pouch</t>
  </si>
  <si>
    <t>Club</t>
  </si>
  <si>
    <t>Hourglass</t>
  </si>
  <si>
    <t>Dagger</t>
  </si>
  <si>
    <t>Hunting trap</t>
  </si>
  <si>
    <t>Greatclub</t>
  </si>
  <si>
    <t>Ink (1 ounce bottle)</t>
  </si>
  <si>
    <t>Handaxe</t>
  </si>
  <si>
    <t>Ink pen</t>
  </si>
  <si>
    <t>Javelin</t>
  </si>
  <si>
    <t>Lamp</t>
  </si>
  <si>
    <t>Foci pouch</t>
  </si>
  <si>
    <t>Light Hammer</t>
  </si>
  <si>
    <t>Lantern, bullseye</t>
  </si>
  <si>
    <t>Mace</t>
  </si>
  <si>
    <t>Lantern, hooded</t>
  </si>
  <si>
    <t>Quarterstaff</t>
  </si>
  <si>
    <t>Lock</t>
  </si>
  <si>
    <t>Sickle</t>
  </si>
  <si>
    <t>Magnifying glass</t>
  </si>
  <si>
    <t>Spear</t>
  </si>
  <si>
    <t>Manacles</t>
  </si>
  <si>
    <t>Crossbow, light</t>
  </si>
  <si>
    <t>Mess kit</t>
  </si>
  <si>
    <t>Dart</t>
  </si>
  <si>
    <t>Mirror, steel</t>
  </si>
  <si>
    <t>Shortbow</t>
  </si>
  <si>
    <t>Oil (flask)</t>
  </si>
  <si>
    <t>Sling</t>
  </si>
  <si>
    <t>Paper (one sheet)</t>
  </si>
  <si>
    <t>Parchment (one sheet)</t>
  </si>
  <si>
    <t>Jug or pitcher</t>
  </si>
  <si>
    <t>Perfume (vial)</t>
  </si>
  <si>
    <t>Ladder (10-foot)</t>
  </si>
  <si>
    <t>Pick, miner's</t>
  </si>
  <si>
    <t>Piton</t>
  </si>
  <si>
    <t>Poison, basic (vial)</t>
  </si>
  <si>
    <t>Pouch</t>
  </si>
  <si>
    <t>Quiver</t>
  </si>
  <si>
    <t>Rations (1 day)</t>
  </si>
  <si>
    <t>Rope, hempen (50 feet)</t>
  </si>
  <si>
    <t>Rope, silk (50 feet)</t>
  </si>
  <si>
    <t>Sack</t>
  </si>
  <si>
    <t>Scale merchant's</t>
  </si>
  <si>
    <t>Sealing wax</t>
  </si>
  <si>
    <t>Shovel</t>
  </si>
  <si>
    <t>Signal whistle</t>
  </si>
  <si>
    <t>Signet ring</t>
  </si>
  <si>
    <t>Soap</t>
  </si>
  <si>
    <t>Pole (10-foot)</t>
  </si>
  <si>
    <t>Spikes, iron (10)</t>
  </si>
  <si>
    <t>Pot, iron</t>
  </si>
  <si>
    <t>Spyglass</t>
  </si>
  <si>
    <t>Tent, two-person</t>
  </si>
  <si>
    <t>Tinderbox</t>
  </si>
  <si>
    <t>Torch</t>
  </si>
  <si>
    <t>Ram, portable</t>
  </si>
  <si>
    <t>Vial</t>
  </si>
  <si>
    <t>Waterskin</t>
  </si>
  <si>
    <t>Whetstone</t>
  </si>
  <si>
    <t>Spellbook</t>
  </si>
  <si>
    <t>Block</t>
  </si>
  <si>
    <t>HP</t>
  </si>
  <si>
    <t>Dex Score</t>
  </si>
  <si>
    <t>Medium humanoid</t>
  </si>
  <si>
    <t>13 (3d8)</t>
  </si>
  <si>
    <t>Large aberration</t>
  </si>
  <si>
    <t>135 (18d10+36)</t>
  </si>
  <si>
    <t>Huge monstrosity</t>
  </si>
  <si>
    <t>137 (11d12 + 66)</t>
  </si>
  <si>
    <t>Damage</t>
  </si>
  <si>
    <t>2gp</t>
  </si>
  <si>
    <t>2lb</t>
  </si>
  <si>
    <t>Adventuring Gear</t>
  </si>
  <si>
    <t>25gp</t>
  </si>
  <si>
    <t>1lb</t>
  </si>
  <si>
    <t>5lb</t>
  </si>
  <si>
    <t>1gp</t>
  </si>
  <si>
    <t>70lb</t>
  </si>
  <si>
    <t>4sp</t>
  </si>
  <si>
    <t>7lb</t>
  </si>
  <si>
    <t>5cp</t>
  </si>
  <si>
    <t>3lb</t>
  </si>
  <si>
    <t>1cp</t>
  </si>
  <si>
    <t>10lb</t>
  </si>
  <si>
    <t>25lb</t>
  </si>
  <si>
    <t>12lb</t>
  </si>
  <si>
    <t>Clothes, common</t>
  </si>
  <si>
    <t>5sp</t>
  </si>
  <si>
    <t>Clothes, costume</t>
  </si>
  <si>
    <t>4lb</t>
  </si>
  <si>
    <t>Clothes, fine</t>
  </si>
  <si>
    <t>15gp</t>
  </si>
  <si>
    <t>6lb</t>
  </si>
  <si>
    <t>Clothes, traveler's</t>
  </si>
  <si>
    <t>2cp</t>
  </si>
  <si>
    <t>3gp</t>
  </si>
  <si>
    <t>Can hold hand foci (not staves) in a pouch at the waist for easy switching (free action) during combat.</t>
  </si>
  <si>
    <t>2lbs</t>
  </si>
  <si>
    <t>1sp</t>
  </si>
  <si>
    <t>100gp</t>
  </si>
  <si>
    <t>2sp</t>
  </si>
  <si>
    <t>1/2lb</t>
  </si>
  <si>
    <t>1/4lb</t>
  </si>
  <si>
    <t>4gp</t>
  </si>
  <si>
    <t>35lb</t>
  </si>
  <si>
    <t>Robes</t>
  </si>
  <si>
    <t>1000gp</t>
  </si>
  <si>
    <t>20lb</t>
  </si>
  <si>
    <t>5lb. (full)</t>
  </si>
  <si>
    <t>Holy Symbol</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</si>
  <si>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</si>
  <si>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</si>
  <si>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</si>
  <si>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</si>
  <si>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</si>
  <si>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</si>
  <si>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</si>
  <si>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</si>
  <si>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</si>
  <si>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</si>
  <si>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</si>
  <si>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</si>
  <si>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</si>
  <si>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</si>
  <si>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</si>
  <si>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</si>
  <si>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</si>
  <si>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</si>
  <si>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</si>
  <si>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</si>
  <si>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1d8 slashing</t>
  </si>
  <si>
    <t>Versatile (1d10)</t>
  </si>
  <si>
    <t>Martial Melee Weapon</t>
  </si>
  <si>
    <t>1d8 bludgeoning</t>
  </si>
  <si>
    <t>1d10 slashing</t>
  </si>
  <si>
    <t>Heavy, reach, two-handed</t>
  </si>
  <si>
    <t>1d12 slashing</t>
  </si>
  <si>
    <t>Heavy, two-handed</t>
  </si>
  <si>
    <t>2d6 slashing</t>
  </si>
  <si>
    <t>1d12 piercing</t>
  </si>
  <si>
    <t>Reach, special</t>
  </si>
  <si>
    <t>2d6 bludgeoning</t>
  </si>
  <si>
    <t>1d8 piercing</t>
  </si>
  <si>
    <t>1d10 piercing</t>
  </si>
  <si>
    <t>18lb</t>
  </si>
  <si>
    <t>Finesse</t>
  </si>
  <si>
    <t>1d6 slashing</t>
  </si>
  <si>
    <t>Finesse, light</t>
  </si>
  <si>
    <t>1d6 piercing</t>
  </si>
  <si>
    <t xml:space="preserve">Thrown (range 20/60), versatile (1d8) </t>
  </si>
  <si>
    <t>1d4 slashing</t>
  </si>
  <si>
    <t xml:space="preserve">Finesse, reach </t>
  </si>
  <si>
    <t>1 piercing</t>
  </si>
  <si>
    <t>Ammunition (range 25/100), loading</t>
  </si>
  <si>
    <t>Martial Ranged Weapon</t>
  </si>
  <si>
    <t>Ammunition (range 30/120), light, loading</t>
  </si>
  <si>
    <t xml:space="preserve">Ammunition (range 100/400), heavy, loading, two-handed </t>
  </si>
  <si>
    <t>1d8</t>
  </si>
  <si>
    <t>Ammunition (range 150/600), heavy, two-handed</t>
  </si>
  <si>
    <t xml:space="preserve">Special, thrown (range 5/15) </t>
  </si>
  <si>
    <t>2d4 slashing</t>
  </si>
  <si>
    <t>6lbs</t>
  </si>
  <si>
    <t>Special, two-handed</t>
  </si>
  <si>
    <t>1d4 bludgeoning</t>
  </si>
  <si>
    <t>Light</t>
  </si>
  <si>
    <t>Simple Melee Weapon</t>
  </si>
  <si>
    <t>1d4 piercing</t>
  </si>
  <si>
    <t>Finesse, light, thrown (range 20/60)</t>
  </si>
  <si>
    <t>Two-handed</t>
  </si>
  <si>
    <t>Light, thrown (range 20/60)</t>
  </si>
  <si>
    <t>Thrown (range 30/120)</t>
  </si>
  <si>
    <t>1d6 bludgeoning</t>
  </si>
  <si>
    <t>Versatile (1d8)</t>
  </si>
  <si>
    <t>Thrown (range 20/60), versatile (1d8)</t>
  </si>
  <si>
    <t>Ammunition (range 80/320), loading, two-handed</t>
  </si>
  <si>
    <t>Simple Ranged Weapon</t>
  </si>
  <si>
    <t>Finesse, thrown (range 20/60)</t>
  </si>
  <si>
    <t>Ammunition (range 80/320), two-handed</t>
  </si>
  <si>
    <t>Ammunition (range 30/120)</t>
  </si>
  <si>
    <t>AC: 11+Dex Modifier</t>
  </si>
  <si>
    <t>AC: 12+Dex Modifier</t>
  </si>
  <si>
    <t>AC: 13+Dex Modifier (Max 2)</t>
  </si>
  <si>
    <t>AC: 14+Dex Modifier (Max 2)</t>
  </si>
  <si>
    <t>5lbs</t>
  </si>
  <si>
    <t>+2 AC</t>
  </si>
  <si>
    <t>Item Type</t>
  </si>
  <si>
    <t>Consumable</t>
  </si>
  <si>
    <t>Attunement?</t>
  </si>
  <si>
    <t>Rulebooks / Sourcebooks</t>
  </si>
  <si>
    <t>Notes</t>
  </si>
  <si>
    <t>cursed?</t>
  </si>
  <si>
    <t>attunement requirement</t>
  </si>
  <si>
    <t>Description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</si>
  <si>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</si>
  <si>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</si>
  <si>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</si>
  <si>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</si>
  <si>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</si>
  <si>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Ammunition +3</t>
  </si>
  <si>
    <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</si>
  <si>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</si>
  <si>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</si>
  <si>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</si>
  <si>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</si>
  <si>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</si>
  <si>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</si>
  <si>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</si>
  <si>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</si>
  <si>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</si>
  <si>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</si>
  <si>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</si>
  <si>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</si>
  <si>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</si>
  <si>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</si>
  <si>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</si>
  <si>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</si>
  <si>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This spells damage increases by 1d6 when you reach 5th Level (2d6), 11th level (3d6) and 17th level (4d6).</t>
  </si>
  <si>
    <t>Conjuration</t>
  </si>
  <si>
    <t>1 action</t>
  </si>
  <si>
    <t>60'</t>
  </si>
  <si>
    <t>Inst.</t>
  </si>
  <si>
    <t>1d6 acid</t>
  </si>
  <si>
    <t>Acid</t>
  </si>
  <si>
    <t>Sorcerer; Wizard; Fighter (Eldritch Knight); Rogue (Arcane Trickster)</t>
  </si>
  <si>
    <t>Abjuration</t>
  </si>
  <si>
    <t>Self</t>
  </si>
  <si>
    <t>1 r</t>
  </si>
  <si>
    <t>Bard; Sorcerer; Warlock; Wizard; Fighter (Eldritch Knight); Rogue (Arcane Trickster)</t>
  </si>
  <si>
    <t>Darkness</t>
  </si>
  <si>
    <t>Vision</t>
  </si>
  <si>
    <t>Environment</t>
  </si>
  <si>
    <t>Hazard</t>
  </si>
  <si>
    <t>Bright Light</t>
  </si>
  <si>
    <t>Non-Hazardous</t>
  </si>
  <si>
    <t>Lightly Obscured</t>
  </si>
  <si>
    <r>
      <t>Extreme Cold Temperature &lt; 10</t>
    </r>
    <r>
      <rPr>
        <sz val="11"/>
        <color theme="1"/>
        <rFont val="Calibri"/>
        <family val="2"/>
      </rPr>
      <t>°F</t>
    </r>
  </si>
  <si>
    <t>Desecrated Ground</t>
  </si>
  <si>
    <t>Heavily Obscured</t>
  </si>
  <si>
    <t>Altitudes of 10,000 feet or higher above sea level</t>
  </si>
  <si>
    <t>Frigid Water</t>
  </si>
  <si>
    <t>Dim Light</t>
  </si>
  <si>
    <t>Extreme Heat</t>
  </si>
  <si>
    <t>Quicksand</t>
  </si>
  <si>
    <t>Strong Wind</t>
  </si>
  <si>
    <t>Razorvine</t>
  </si>
  <si>
    <t>Heavy Precipitation</t>
  </si>
  <si>
    <t>Slippery Ice</t>
  </si>
  <si>
    <t>Thin Ice</t>
  </si>
  <si>
    <t>Incident</t>
  </si>
  <si>
    <t>Additional Options</t>
  </si>
  <si>
    <t>Ruined Structure</t>
  </si>
  <si>
    <t>Dry Well</t>
  </si>
  <si>
    <t>Past Events</t>
  </si>
  <si>
    <t>Dead Body (1d2)</t>
  </si>
  <si>
    <t>00-09 Fresh - Today
10-49 Within Last week
50-79 Within Last few months
80-99 Very old
--------
00-19 Corpse of Monster (GMM-DD p64)
20-89 Corpse of Humanoid (GMM-DD p65)
90-99 Corpse of Adventurer (GMM-DD p66)</t>
  </si>
  <si>
    <t>NPC</t>
  </si>
  <si>
    <t>Seated Wizard, reading book, mysterious (NPC - Mage)</t>
  </si>
  <si>
    <t>Mounted Watch Patrol (2d3):</t>
  </si>
  <si>
    <t>00-49 General Patrol
50-74 Looking for escaped prisoner
75-99 Looking for Monsters / bandits in area</t>
  </si>
  <si>
    <t>Current Events</t>
  </si>
  <si>
    <t>Prisoner being chased by several Guards (1d2+2)</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</si>
  <si>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</si>
  <si>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</si>
  <si>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</si>
  <si>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Social Challenge</t>
  </si>
  <si>
    <t>Boarder Crossing</t>
  </si>
  <si>
    <t>Crossing from one territory to another may be harder than just passing through!
Primary Skills:
Persuasion
Intimidation
History
Religion
Stealth
Secondary Skills:
Insight
Perception
Slight of hand</t>
  </si>
  <si>
    <t>Knowledge Challenge</t>
  </si>
  <si>
    <t>Gather Information</t>
  </si>
  <si>
    <t>The party may know of an impending conflict, or event and want to learn all they can about it.
Primary Skills:
History
Insight
Investigation
Nature
Religion
Survival
Arcana
Secondary Skills:
Perception</t>
  </si>
  <si>
    <t>The Wild Beyond The Witchlight</t>
  </si>
  <si>
    <t>Fizban's Treasury Of Dragons</t>
  </si>
  <si>
    <t>Fairy</t>
  </si>
  <si>
    <t>Harengon</t>
  </si>
  <si>
    <t>Chromatic Dragonborn</t>
  </si>
  <si>
    <t>Gem Dragonborn</t>
  </si>
  <si>
    <t>Metallic Dragonborn</t>
  </si>
  <si>
    <t>Small Fey</t>
  </si>
  <si>
    <t xml:space="preserve">Sort Initiatives  </t>
  </si>
  <si>
    <t xml:space="preserve">Long Rest   </t>
  </si>
  <si>
    <t>Carrey</t>
  </si>
  <si>
    <t>Doug</t>
  </si>
  <si>
    <t>Edwin</t>
  </si>
  <si>
    <t>Fred</t>
  </si>
  <si>
    <t>Gabby</t>
  </si>
  <si>
    <t>Harry</t>
  </si>
  <si>
    <t>Irwin</t>
  </si>
  <si>
    <t>Jocasta</t>
  </si>
  <si>
    <t>Irridin</t>
  </si>
  <si>
    <t>Hoga</t>
  </si>
  <si>
    <t>Gaffa</t>
  </si>
  <si>
    <t>Fring</t>
  </si>
  <si>
    <t>Ed</t>
  </si>
  <si>
    <t>Dagga</t>
  </si>
  <si>
    <t>Capt.</t>
  </si>
  <si>
    <t>Broug</t>
  </si>
  <si>
    <t>Adel</t>
  </si>
  <si>
    <t>9'3"</t>
  </si>
  <si>
    <t>3'10"</t>
  </si>
  <si>
    <t>8'</t>
  </si>
  <si>
    <t>6'2"</t>
  </si>
  <si>
    <t>5'9"</t>
  </si>
  <si>
    <t>4'5"</t>
  </si>
  <si>
    <t>6'4"</t>
  </si>
  <si>
    <t>6'</t>
  </si>
  <si>
    <t>Options</t>
  </si>
  <si>
    <t>Auto Roll Creature HP</t>
  </si>
  <si>
    <t>Remaining Available</t>
  </si>
  <si>
    <t>Example</t>
  </si>
  <si>
    <t>Example Creature 1</t>
  </si>
  <si>
    <t>4 (1d8 + 0)</t>
  </si>
  <si>
    <t>Example Creature 2</t>
  </si>
  <si>
    <t>Example Creature 3</t>
  </si>
  <si>
    <t>Example Creature 4</t>
  </si>
  <si>
    <t>Example Spell 1</t>
  </si>
  <si>
    <t>Example Spell 2</t>
  </si>
  <si>
    <t>Description 1</t>
  </si>
  <si>
    <t>Description 2</t>
  </si>
  <si>
    <t>ex</t>
  </si>
  <si>
    <t>Eye Rays</t>
  </si>
  <si>
    <t>Available in DMs guild version</t>
  </si>
  <si>
    <t>Available in DMs Guild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</si>
</sst>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General\ &quot;lbs&quot;"/>
    <numFmt numFmtId="165" formatCode="&quot;+&quot;0"/>
    <numFmt numFmtId="166" formatCode="0.0%"/>
    <numFmt numFmtId="167" formatCode="0\ &quot;Weighted&quot;"/>
    <numFmt numFmtId="168" formatCode="0\ &quot;EXP&quot;"/>
    <numFmt numFmtId="169" formatCode="&quot;Base:&quot;\ 0\ &quot;EXP&quot;"/>
    <numFmt numFmtId="170" formatCode="&quot;Weighted:&quot;\ 0\ &quot;EXP&quot;"/>
    <numFmt numFmtId="171" formatCode="0\ &quot;EXP/Character&quot;"/>
  </numFmts>
  <fonts count="25" x14ac:knownFonts="1">
    <font>
      <sz val="11"/>
      <color theme="1"/>
      <name val="Calibri"/>
      <family val="2"/>
      <scheme val="minor"/>
    </font>
    <font>
      <b/>
      <sz val="11"/>
      <color theme="1"/>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5"/>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0"/>
      <color rgb="FF000000"/>
      <name val="Arial"/>
      <family val="2"/>
    </font>
    <font>
      <sz val="10"/>
      <color rgb="FF5A362F"/>
      <name val="Calibri"/>
      <family val="2"/>
      <scheme val="minor"/>
    </font>
    <font>
      <sz val="11"/>
      <color rgb="FFF8696B"/>
      <name val="Calibri"/>
      <family val="2"/>
      <scheme val="minor"/>
    </font>
    <font>
      <sz val="11"/>
      <color theme="1"/>
      <name val="Calibri"/>
      <family val="2"/>
      <scheme val="minor"/>
    </font>
    <font>
      <sz val="11"/>
      <name val="Calibri"/>
      <family val="2"/>
      <scheme val="minor"/>
    </font>
    <font>
      <sz val="11"/>
      <color rgb="FF000000"/>
      <name val="Calibri"/>
      <family val="2"/>
    </font>
    <font>
      <sz val="9"/>
      <color rgb="FF000000"/>
      <name val="Calibri"/>
      <family val="2"/>
    </font>
    <font>
      <sz val="8"/>
      <color rgb="FF000000"/>
      <name val="Calibri"/>
      <family val="2"/>
    </font>
    <font>
      <sz val="8"/>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
      <patternFill patternType="solid">
        <fgColor rgb="FFF2F2F2"/>
        <bgColor indexed="64"/>
      </patternFill>
    </fill>
  </fills>
  <borders count="106">
    <border>
      <left/>
      <right/>
      <top/>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right style="thin">
        <color rgb="FF5A362F"/>
      </right>
      <top style="thin">
        <color rgb="FF5A362F"/>
      </top>
      <bottom style="thin">
        <color rgb="FF5A362F"/>
      </bottom>
      <diagonal/>
    </border>
    <border>
      <left/>
      <right style="thin">
        <color rgb="FF5A362F"/>
      </right>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rgb="FF5A362F"/>
      </top>
      <bottom/>
      <diagonal/>
    </border>
    <border>
      <left style="medium">
        <color indexed="64"/>
      </left>
      <right/>
      <top/>
      <bottom style="medium">
        <color rgb="FF5A362F"/>
      </bottom>
      <diagonal/>
    </border>
    <border>
      <left/>
      <right style="medium">
        <color indexed="64"/>
      </right>
      <top/>
      <bottom style="medium">
        <color rgb="FF5A362F"/>
      </bottom>
      <diagonal/>
    </border>
    <border>
      <left/>
      <right style="medium">
        <color indexed="64"/>
      </right>
      <top style="medium">
        <color rgb="FF5A362F"/>
      </top>
      <bottom/>
      <diagonal/>
    </border>
    <border>
      <left/>
      <right style="thin">
        <color rgb="FF5A362F"/>
      </right>
      <top/>
      <bottom style="medium">
        <color indexed="64"/>
      </bottom>
      <diagonal/>
    </border>
    <border>
      <left/>
      <right style="medium">
        <color rgb="FF5A362F"/>
      </right>
      <top style="medium">
        <color indexed="64"/>
      </top>
      <bottom/>
      <diagonal/>
    </border>
    <border>
      <left style="thin">
        <color rgb="FF5A362F"/>
      </left>
      <right/>
      <top style="medium">
        <color rgb="FF5A362F"/>
      </top>
      <bottom style="medium">
        <color rgb="FF5A362F"/>
      </bottom>
      <diagonal/>
    </border>
    <border>
      <left/>
      <right style="thin">
        <color rgb="FF5A362F"/>
      </right>
      <top style="medium">
        <color rgb="FF5A362F"/>
      </top>
      <bottom style="thin">
        <color rgb="FF5A362F"/>
      </bottom>
      <diagonal/>
    </border>
    <border>
      <left/>
      <right/>
      <top/>
      <bottom style="double">
        <color indexed="64"/>
      </bottom>
      <diagonal/>
    </border>
    <border>
      <left style="thin">
        <color rgb="FFC9C9C9"/>
      </left>
      <right style="thin">
        <color rgb="FFC9C9C9"/>
      </right>
      <top style="medium">
        <color rgb="FF5A362F"/>
      </top>
      <bottom style="thin">
        <color rgb="FFC9C9C9"/>
      </bottom>
      <diagonal/>
    </border>
    <border>
      <left style="thin">
        <color rgb="FFC9C9C9"/>
      </left>
      <right style="thin">
        <color rgb="FFC9C9C9"/>
      </right>
      <top style="thin">
        <color rgb="FFC9C9C9"/>
      </top>
      <bottom style="medium">
        <color rgb="FF5A362F"/>
      </bottom>
      <diagonal/>
    </border>
    <border>
      <left style="medium">
        <color rgb="FF5A362F"/>
      </left>
      <right style="thin">
        <color rgb="FFC9C9C9"/>
      </right>
      <top style="medium">
        <color rgb="FF5A362F"/>
      </top>
      <bottom/>
      <diagonal/>
    </border>
    <border>
      <left style="medium">
        <color rgb="FF5A362F"/>
      </left>
      <right style="thin">
        <color rgb="FFC9C9C9"/>
      </right>
      <top/>
      <bottom style="medium">
        <color rgb="FF5A362F"/>
      </bottom>
      <diagonal/>
    </border>
  </borders>
  <cellStyleXfs count="3">
    <xf numFmtId="0" fontId="0" fillId="0" borderId="0"/>
    <xf numFmtId="0" fontId="16" fillId="0" borderId="0"/>
    <xf numFmtId="9" fontId="19" fillId="0" borderId="0" applyFont="0" applyFill="0" applyBorder="0" applyAlignment="0" applyProtection="0"/>
  </cellStyleXfs>
  <cellXfs count="335">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1"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3" borderId="0" xfId="0" applyFill="1" applyAlignment="1">
      <alignment wrapText="1"/>
    </xf>
    <xf numFmtId="0" fontId="0" fillId="0" borderId="0" xfId="0" quotePrefix="1" applyAlignment="1">
      <alignment horizontal="right"/>
    </xf>
    <xf numFmtId="0" fontId="4" fillId="3" borderId="0" xfId="0" applyFont="1" applyFill="1"/>
    <xf numFmtId="0" fontId="13" fillId="3" borderId="36" xfId="0" applyFont="1" applyFill="1" applyBorder="1"/>
    <xf numFmtId="0" fontId="4" fillId="3" borderId="52" xfId="0" applyFont="1" applyFill="1" applyBorder="1" applyAlignment="1">
      <alignment horizontal="center"/>
    </xf>
    <xf numFmtId="0" fontId="4" fillId="3" borderId="2" xfId="0" applyFont="1" applyFill="1" applyBorder="1"/>
    <xf numFmtId="0" fontId="0" fillId="3" borderId="3" xfId="0" applyFill="1" applyBorder="1"/>
    <xf numFmtId="0" fontId="4" fillId="3" borderId="52" xfId="0" applyFont="1" applyFill="1" applyBorder="1" applyAlignment="1">
      <alignment horizontal="center" vertical="top" textRotation="180" wrapText="1"/>
    </xf>
    <xf numFmtId="0" fontId="10" fillId="3" borderId="65" xfId="0" applyFont="1" applyFill="1" applyBorder="1" applyAlignment="1">
      <alignment horizontal="center"/>
    </xf>
    <xf numFmtId="0" fontId="10" fillId="3" borderId="66" xfId="0" applyFont="1" applyFill="1" applyBorder="1" applyAlignment="1">
      <alignment horizontal="center"/>
    </xf>
    <xf numFmtId="0" fontId="10" fillId="3" borderId="67" xfId="0" applyFont="1" applyFill="1" applyBorder="1" applyAlignment="1">
      <alignment horizontal="center"/>
    </xf>
    <xf numFmtId="0" fontId="10" fillId="3" borderId="68" xfId="0" applyFont="1" applyFill="1" applyBorder="1" applyAlignment="1">
      <alignment horizontal="center"/>
    </xf>
    <xf numFmtId="0" fontId="10" fillId="3" borderId="69" xfId="0" applyFont="1" applyFill="1" applyBorder="1" applyAlignment="1">
      <alignment horizontal="center"/>
    </xf>
    <xf numFmtId="0" fontId="10" fillId="3" borderId="70" xfId="0" applyFont="1" applyFill="1" applyBorder="1" applyAlignment="1">
      <alignment horizontal="center"/>
    </xf>
    <xf numFmtId="0" fontId="10" fillId="3" borderId="71" xfId="0" applyFont="1" applyFill="1" applyBorder="1" applyAlignment="1">
      <alignment horizontal="center"/>
    </xf>
    <xf numFmtId="0" fontId="10" fillId="3" borderId="72" xfId="0" applyFont="1" applyFill="1" applyBorder="1" applyAlignment="1">
      <alignment horizontal="center"/>
    </xf>
    <xf numFmtId="0" fontId="10" fillId="3" borderId="73" xfId="0" applyFont="1" applyFill="1" applyBorder="1" applyAlignment="1">
      <alignment horizontal="center"/>
    </xf>
    <xf numFmtId="0" fontId="4" fillId="3" borderId="58" xfId="0" applyFont="1" applyFill="1" applyBorder="1" applyAlignment="1">
      <alignment horizontal="center"/>
    </xf>
    <xf numFmtId="0" fontId="10" fillId="3" borderId="77" xfId="0" applyFont="1" applyFill="1" applyBorder="1" applyAlignment="1">
      <alignment horizontal="center"/>
    </xf>
    <xf numFmtId="0" fontId="10" fillId="3" borderId="78" xfId="0" applyFont="1" applyFill="1" applyBorder="1" applyAlignment="1">
      <alignment horizontal="center"/>
    </xf>
    <xf numFmtId="0" fontId="10" fillId="3" borderId="79" xfId="0" applyFont="1" applyFill="1" applyBorder="1" applyAlignment="1">
      <alignment horizontal="center"/>
    </xf>
    <xf numFmtId="0" fontId="4" fillId="6" borderId="0" xfId="0" applyFont="1" applyFill="1"/>
    <xf numFmtId="0" fontId="4" fillId="6" borderId="64" xfId="0" applyFont="1" applyFill="1" applyBorder="1"/>
    <xf numFmtId="0" fontId="4" fillId="6" borderId="18" xfId="0" applyFont="1" applyFill="1" applyBorder="1"/>
    <xf numFmtId="0" fontId="4" fillId="6" borderId="19" xfId="0" applyFont="1" applyFill="1" applyBorder="1"/>
    <xf numFmtId="0" fontId="4" fillId="6" borderId="0" xfId="0" applyFont="1" applyFill="1" applyAlignment="1">
      <alignment vertical="top"/>
    </xf>
    <xf numFmtId="0" fontId="4" fillId="6" borderId="36" xfId="0" applyFont="1" applyFill="1" applyBorder="1"/>
    <xf numFmtId="0" fontId="4" fillId="3" borderId="28" xfId="0" applyFont="1" applyFill="1" applyBorder="1"/>
    <xf numFmtId="0" fontId="0" fillId="6" borderId="0" xfId="0" applyFill="1"/>
    <xf numFmtId="0" fontId="0" fillId="6" borderId="3" xfId="0" applyFill="1" applyBorder="1"/>
    <xf numFmtId="0" fontId="0" fillId="3" borderId="2" xfId="0" applyFill="1" applyBorder="1"/>
    <xf numFmtId="0" fontId="0" fillId="3" borderId="62" xfId="0" applyFill="1" applyBorder="1"/>
    <xf numFmtId="0" fontId="4" fillId="3" borderId="86" xfId="0" applyFont="1" applyFill="1" applyBorder="1"/>
    <xf numFmtId="0" fontId="4" fillId="3" borderId="64" xfId="0" applyFont="1" applyFill="1" applyBorder="1"/>
    <xf numFmtId="0" fontId="4" fillId="3" borderId="59" xfId="0" applyFont="1" applyFill="1" applyBorder="1"/>
    <xf numFmtId="0" fontId="4" fillId="3" borderId="87" xfId="0" applyFont="1" applyFill="1" applyBorder="1"/>
    <xf numFmtId="0" fontId="4" fillId="3" borderId="62" xfId="0" applyFont="1" applyFill="1" applyBorder="1"/>
    <xf numFmtId="0" fontId="4" fillId="3" borderId="3" xfId="0" applyFont="1" applyFill="1" applyBorder="1"/>
    <xf numFmtId="0" fontId="4" fillId="3" borderId="1" xfId="0" applyFont="1" applyFill="1" applyBorder="1"/>
    <xf numFmtId="0" fontId="0" fillId="3" borderId="86" xfId="0" applyFill="1" applyBorder="1"/>
    <xf numFmtId="0" fontId="0" fillId="3" borderId="64" xfId="0" applyFill="1" applyBorder="1"/>
    <xf numFmtId="0" fontId="0" fillId="3" borderId="59" xfId="0" applyFill="1" applyBorder="1"/>
    <xf numFmtId="0" fontId="0" fillId="3" borderId="1" xfId="0" applyFill="1" applyBorder="1"/>
    <xf numFmtId="0" fontId="0" fillId="3" borderId="87" xfId="0" applyFill="1" applyBorder="1"/>
    <xf numFmtId="0" fontId="12" fillId="3" borderId="64" xfId="0" applyFont="1" applyFill="1" applyBorder="1" applyAlignment="1">
      <alignment wrapText="1"/>
    </xf>
    <xf numFmtId="0" fontId="12" fillId="3" borderId="0" xfId="0" applyFont="1" applyFill="1" applyAlignment="1">
      <alignment wrapText="1"/>
    </xf>
    <xf numFmtId="0" fontId="12" fillId="3" borderId="2" xfId="0" applyFont="1" applyFill="1" applyBorder="1" applyAlignment="1">
      <alignment wrapText="1"/>
    </xf>
    <xf numFmtId="0" fontId="4" fillId="9" borderId="0" xfId="0" applyFont="1" applyFill="1"/>
    <xf numFmtId="0" fontId="0" fillId="9" borderId="0" xfId="0" applyFill="1"/>
    <xf numFmtId="0" fontId="0" fillId="2" borderId="0" xfId="0" applyFill="1" applyAlignment="1">
      <alignment horizontal="center"/>
    </xf>
    <xf numFmtId="0" fontId="13" fillId="3" borderId="41" xfId="0" applyFont="1" applyFill="1" applyBorder="1"/>
    <xf numFmtId="0" fontId="13" fillId="3" borderId="40" xfId="0" applyFont="1" applyFill="1" applyBorder="1"/>
    <xf numFmtId="0" fontId="0" fillId="10" borderId="86" xfId="0" applyFill="1" applyBorder="1"/>
    <xf numFmtId="0" fontId="0" fillId="10" borderId="64" xfId="0" applyFill="1" applyBorder="1"/>
    <xf numFmtId="0" fontId="0" fillId="10" borderId="59" xfId="0" applyFill="1" applyBorder="1"/>
    <xf numFmtId="0" fontId="0" fillId="10" borderId="3" xfId="0" applyFill="1" applyBorder="1"/>
    <xf numFmtId="0" fontId="0" fillId="10" borderId="0" xfId="0" applyFill="1"/>
    <xf numFmtId="0" fontId="0" fillId="10" borderId="1" xfId="0" applyFill="1" applyBorder="1"/>
    <xf numFmtId="0" fontId="0" fillId="10" borderId="87" xfId="0" applyFill="1" applyBorder="1"/>
    <xf numFmtId="0" fontId="0" fillId="10" borderId="2" xfId="0" applyFill="1" applyBorder="1"/>
    <xf numFmtId="0" fontId="0" fillId="10" borderId="62" xfId="0" applyFill="1" applyBorder="1"/>
    <xf numFmtId="0" fontId="0" fillId="0" borderId="0" xfId="0" applyAlignment="1">
      <alignment horizontal="center"/>
    </xf>
    <xf numFmtId="0" fontId="0" fillId="10" borderId="0" xfId="0" applyFill="1" applyAlignment="1">
      <alignment wrapText="1"/>
    </xf>
    <xf numFmtId="0" fontId="18" fillId="3" borderId="0" xfId="0" applyFont="1" applyFill="1"/>
    <xf numFmtId="0" fontId="0" fillId="0" borderId="0" xfId="0" quotePrefix="1"/>
    <xf numFmtId="16" fontId="0" fillId="0" borderId="0" xfId="0" quotePrefix="1" applyNumberFormat="1"/>
    <xf numFmtId="0" fontId="0" fillId="6" borderId="0" xfId="0" applyFill="1" applyAlignment="1">
      <alignment wrapText="1"/>
    </xf>
    <xf numFmtId="0" fontId="0" fillId="2" borderId="0" xfId="0" applyFill="1" applyAlignment="1">
      <alignment horizontal="right"/>
    </xf>
    <xf numFmtId="0" fontId="0" fillId="2" borderId="0" xfId="0" applyFill="1" applyAlignment="1">
      <alignment horizontal="left"/>
    </xf>
    <xf numFmtId="0" fontId="0" fillId="6" borderId="86" xfId="0" applyFill="1" applyBorder="1"/>
    <xf numFmtId="0" fontId="0" fillId="6" borderId="64" xfId="0" applyFill="1" applyBorder="1"/>
    <xf numFmtId="165" fontId="0" fillId="0" borderId="0" xfId="0" applyNumberFormat="1"/>
    <xf numFmtId="0" fontId="4" fillId="2" borderId="0" xfId="0" applyFont="1" applyFill="1"/>
    <xf numFmtId="166" fontId="4" fillId="2" borderId="0" xfId="2" applyNumberFormat="1" applyFont="1" applyFill="1"/>
    <xf numFmtId="0" fontId="0" fillId="2" borderId="0" xfId="0" applyFill="1" applyAlignment="1">
      <alignment wrapText="1"/>
    </xf>
    <xf numFmtId="0" fontId="4" fillId="2" borderId="101" xfId="0" applyFont="1" applyFill="1" applyBorder="1"/>
    <xf numFmtId="169" fontId="20" fillId="3" borderId="102" xfId="0" applyNumberFormat="1" applyFont="1" applyFill="1" applyBorder="1" applyAlignment="1">
      <alignment horizontal="center"/>
    </xf>
    <xf numFmtId="170" fontId="20" fillId="3" borderId="102" xfId="0" applyNumberFormat="1" applyFont="1" applyFill="1" applyBorder="1" applyAlignment="1">
      <alignment horizontal="center"/>
    </xf>
    <xf numFmtId="0" fontId="4" fillId="10" borderId="62" xfId="0" applyFont="1" applyFill="1" applyBorder="1"/>
    <xf numFmtId="0" fontId="4" fillId="10" borderId="1" xfId="0" applyFont="1" applyFill="1" applyBorder="1"/>
    <xf numFmtId="171" fontId="4" fillId="10" borderId="102" xfId="0" applyNumberFormat="1" applyFont="1" applyFill="1" applyBorder="1" applyAlignment="1">
      <alignment horizontal="center" vertical="center"/>
    </xf>
    <xf numFmtId="0" fontId="10" fillId="10" borderId="103" xfId="0"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4" fillId="0" borderId="0" xfId="0" quotePrefix="1" applyFont="1" applyAlignment="1">
      <alignment horizontal="center" vertical="center"/>
    </xf>
    <xf numFmtId="0" fontId="4" fillId="0" borderId="0" xfId="0" applyFont="1" applyAlignment="1">
      <alignment horizontal="left" vertical="center" wrapText="1"/>
    </xf>
    <xf numFmtId="0" fontId="0" fillId="0" borderId="0" xfId="0" applyAlignment="1">
      <alignment horizontal="center" vertical="center"/>
    </xf>
    <xf numFmtId="168" fontId="4" fillId="0" borderId="0" xfId="0" quotePrefix="1" applyNumberFormat="1" applyFont="1" applyAlignment="1">
      <alignment horizontal="center" vertical="center"/>
    </xf>
    <xf numFmtId="0" fontId="4" fillId="0" borderId="0" xfId="0" quotePrefix="1" applyFont="1" applyAlignment="1">
      <alignment horizontal="left" vertical="center"/>
    </xf>
    <xf numFmtId="1" fontId="0" fillId="3" borderId="0" xfId="0" applyNumberFormat="1" applyFill="1"/>
    <xf numFmtId="0" fontId="14" fillId="3" borderId="28" xfId="0" applyFont="1" applyFill="1" applyBorder="1"/>
    <xf numFmtId="0" fontId="14" fillId="3" borderId="28" xfId="0" applyFont="1" applyFill="1" applyBorder="1" applyAlignment="1">
      <alignment horizontal="left" vertical="top"/>
    </xf>
    <xf numFmtId="0" fontId="0" fillId="2" borderId="0" xfId="0" applyFill="1" applyAlignment="1">
      <alignment horizontal="center"/>
    </xf>
    <xf numFmtId="0" fontId="0" fillId="0" borderId="0" xfId="0" applyAlignment="1">
      <alignment horizontal="center"/>
    </xf>
    <xf numFmtId="0" fontId="7" fillId="3" borderId="6"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12" xfId="0" applyFont="1" applyFill="1" applyBorder="1" applyAlignment="1">
      <alignment horizontal="center" vertical="center"/>
    </xf>
    <xf numFmtId="0" fontId="7" fillId="3" borderId="15" xfId="0" applyFont="1" applyFill="1" applyBorder="1" applyAlignment="1">
      <alignment horizontal="center" vertical="center"/>
    </xf>
    <xf numFmtId="0" fontId="7" fillId="3" borderId="16"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6" fillId="7" borderId="0" xfId="0" applyFont="1" applyFill="1" applyAlignment="1">
      <alignment horizontal="right" vertical="center"/>
    </xf>
    <xf numFmtId="0" fontId="6" fillId="7" borderId="1" xfId="0" applyFont="1" applyFill="1" applyBorder="1" applyAlignment="1">
      <alignment horizontal="right" vertical="center"/>
    </xf>
    <xf numFmtId="0" fontId="6" fillId="5" borderId="0" xfId="0" applyFont="1" applyFill="1" applyAlignment="1">
      <alignment horizontal="right" vertical="center"/>
    </xf>
    <xf numFmtId="0" fontId="6" fillId="5" borderId="1" xfId="0" applyFont="1" applyFill="1" applyBorder="1" applyAlignment="1">
      <alignment horizontal="right" vertical="center"/>
    </xf>
    <xf numFmtId="0" fontId="9" fillId="5" borderId="0" xfId="0" applyFont="1" applyFill="1" applyAlignment="1">
      <alignment horizontal="right" vertical="center"/>
    </xf>
    <xf numFmtId="0" fontId="9" fillId="5" borderId="1" xfId="0" applyFont="1" applyFill="1" applyBorder="1" applyAlignment="1">
      <alignment horizontal="right" vertical="center"/>
    </xf>
    <xf numFmtId="0" fontId="5" fillId="5" borderId="0" xfId="0" applyFont="1" applyFill="1" applyAlignment="1">
      <alignment horizontal="right" vertical="center"/>
    </xf>
    <xf numFmtId="0" fontId="5" fillId="5" borderId="1" xfId="0" applyFont="1" applyFill="1" applyBorder="1" applyAlignment="1">
      <alignment horizontal="right" vertical="center"/>
    </xf>
    <xf numFmtId="0" fontId="7" fillId="3" borderId="6" xfId="0" applyFont="1" applyFill="1" applyBorder="1" applyAlignment="1">
      <alignment horizontal="center" vertical="center" shrinkToFit="1"/>
    </xf>
    <xf numFmtId="0" fontId="7" fillId="3" borderId="7" xfId="0" applyFont="1" applyFill="1" applyBorder="1" applyAlignment="1">
      <alignment horizontal="center" vertical="center" shrinkToFit="1"/>
    </xf>
    <xf numFmtId="0" fontId="10" fillId="3" borderId="8" xfId="0" applyFont="1" applyFill="1" applyBorder="1" applyAlignment="1">
      <alignment horizontal="center" vertical="center" wrapText="1"/>
    </xf>
    <xf numFmtId="0" fontId="10" fillId="3" borderId="9"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3" borderId="0" xfId="0" applyFont="1" applyFill="1" applyAlignment="1">
      <alignment horizontal="center" vertical="center" wrapText="1"/>
    </xf>
    <xf numFmtId="0" fontId="10" fillId="3" borderId="10" xfId="0" applyFont="1" applyFill="1" applyBorder="1" applyAlignment="1">
      <alignment horizontal="center" vertical="center" wrapText="1"/>
    </xf>
    <xf numFmtId="0" fontId="10" fillId="3" borderId="11" xfId="0" applyFont="1" applyFill="1" applyBorder="1" applyAlignment="1">
      <alignment horizontal="center" vertical="center" wrapText="1"/>
    </xf>
    <xf numFmtId="0" fontId="17" fillId="3" borderId="6" xfId="0" applyFont="1" applyFill="1" applyBorder="1" applyAlignment="1">
      <alignment horizontal="center" vertical="center" wrapText="1"/>
    </xf>
    <xf numFmtId="0" fontId="17" fillId="3" borderId="7" xfId="0" applyFont="1" applyFill="1" applyBorder="1" applyAlignment="1">
      <alignment horizontal="center" vertical="center" wrapText="1"/>
    </xf>
    <xf numFmtId="0" fontId="4" fillId="3" borderId="6" xfId="0" applyFont="1" applyFill="1" applyBorder="1" applyAlignment="1">
      <alignment horizontal="center" vertical="center"/>
    </xf>
    <xf numFmtId="0" fontId="4" fillId="3" borderId="7" xfId="0" applyFont="1" applyFill="1" applyBorder="1" applyAlignment="1">
      <alignment horizontal="center" vertical="center"/>
    </xf>
    <xf numFmtId="0" fontId="8" fillId="5" borderId="0" xfId="0" applyFont="1" applyFill="1" applyAlignment="1">
      <alignment horizontal="right" vertical="center"/>
    </xf>
    <xf numFmtId="0" fontId="8" fillId="5" borderId="1" xfId="0" applyFont="1" applyFill="1" applyBorder="1" applyAlignment="1">
      <alignment horizontal="right" vertical="center"/>
    </xf>
    <xf numFmtId="0" fontId="14" fillId="3" borderId="6" xfId="0" applyFont="1" applyFill="1" applyBorder="1" applyAlignment="1">
      <alignment horizontal="center" vertical="center"/>
    </xf>
    <xf numFmtId="0" fontId="14" fillId="3" borderId="7" xfId="0" applyFont="1" applyFill="1" applyBorder="1" applyAlignment="1">
      <alignment horizontal="center" vertical="center"/>
    </xf>
    <xf numFmtId="0" fontId="13" fillId="3" borderId="6" xfId="0" applyFont="1" applyFill="1" applyBorder="1" applyAlignment="1">
      <alignment horizontal="center" vertical="center"/>
    </xf>
    <xf numFmtId="0" fontId="13" fillId="3" borderId="7" xfId="0" applyFont="1" applyFill="1" applyBorder="1" applyAlignment="1">
      <alignment horizontal="center" vertical="center"/>
    </xf>
    <xf numFmtId="165" fontId="7" fillId="3" borderId="6" xfId="0" applyNumberFormat="1" applyFont="1" applyFill="1" applyBorder="1" applyAlignment="1">
      <alignment horizontal="center" vertical="center"/>
    </xf>
    <xf numFmtId="165" fontId="7" fillId="3" borderId="7" xfId="0" applyNumberFormat="1" applyFont="1" applyFill="1" applyBorder="1" applyAlignment="1">
      <alignment horizontal="center" vertical="center"/>
    </xf>
    <xf numFmtId="0" fontId="11" fillId="3" borderId="6" xfId="0" applyFont="1" applyFill="1" applyBorder="1" applyAlignment="1">
      <alignment horizontal="left" vertical="center" wrapText="1"/>
    </xf>
    <xf numFmtId="0" fontId="11" fillId="3" borderId="7" xfId="0" applyFont="1" applyFill="1" applyBorder="1" applyAlignment="1">
      <alignment horizontal="left" vertical="center" wrapText="1"/>
    </xf>
    <xf numFmtId="0" fontId="4" fillId="3" borderId="6" xfId="0" applyFont="1" applyFill="1" applyBorder="1" applyAlignment="1">
      <alignment horizontal="center" vertical="center" shrinkToFit="1"/>
    </xf>
    <xf numFmtId="0" fontId="4" fillId="3" borderId="7" xfId="0" applyFont="1" applyFill="1" applyBorder="1" applyAlignment="1">
      <alignment horizontal="center" vertical="center" shrinkToFit="1"/>
    </xf>
    <xf numFmtId="0" fontId="11" fillId="3" borderId="6" xfId="0" applyFont="1" applyFill="1" applyBorder="1" applyAlignment="1">
      <alignment horizontal="center" vertical="center" wrapText="1"/>
    </xf>
    <xf numFmtId="0" fontId="11" fillId="3" borderId="7" xfId="0" applyFont="1" applyFill="1" applyBorder="1" applyAlignment="1">
      <alignment horizontal="center" vertical="center" wrapText="1"/>
    </xf>
    <xf numFmtId="164" fontId="7" fillId="3" borderId="6" xfId="0" applyNumberFormat="1" applyFont="1" applyFill="1" applyBorder="1" applyAlignment="1">
      <alignment horizontal="center" vertical="center"/>
    </xf>
    <xf numFmtId="164" fontId="7" fillId="3" borderId="7" xfId="0" applyNumberFormat="1" applyFont="1" applyFill="1" applyBorder="1" applyAlignment="1">
      <alignment horizontal="center" vertical="center"/>
    </xf>
    <xf numFmtId="0" fontId="4" fillId="3" borderId="6" xfId="0" quotePrefix="1" applyFont="1" applyFill="1" applyBorder="1" applyAlignment="1">
      <alignment horizontal="center" vertical="center"/>
    </xf>
    <xf numFmtId="0" fontId="6" fillId="5" borderId="0" xfId="0" applyFont="1" applyFill="1" applyAlignment="1">
      <alignment horizontal="right" vertical="center" wrapText="1"/>
    </xf>
    <xf numFmtId="0" fontId="6" fillId="5" borderId="1" xfId="0" applyFont="1" applyFill="1" applyBorder="1" applyAlignment="1">
      <alignment horizontal="right" vertical="center" wrapTex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2" xfId="0" applyFont="1" applyFill="1" applyBorder="1" applyAlignment="1">
      <alignment horizontal="center" vertical="center"/>
    </xf>
    <xf numFmtId="165" fontId="7" fillId="3" borderId="12" xfId="0" applyNumberFormat="1" applyFont="1" applyFill="1" applyBorder="1" applyAlignment="1">
      <alignment horizontal="center" vertical="center"/>
    </xf>
    <xf numFmtId="164" fontId="7" fillId="3" borderId="12" xfId="0" applyNumberFormat="1" applyFont="1" applyFill="1" applyBorder="1" applyAlignment="1">
      <alignment horizontal="center" vertical="center"/>
    </xf>
    <xf numFmtId="0" fontId="4" fillId="3" borderId="12" xfId="0" applyFont="1" applyFill="1" applyBorder="1" applyAlignment="1">
      <alignment horizontal="center" vertical="center" shrinkToFit="1"/>
    </xf>
    <xf numFmtId="0" fontId="11" fillId="3" borderId="12" xfId="0" applyFont="1" applyFill="1" applyBorder="1" applyAlignment="1">
      <alignment horizontal="center" vertical="center" wrapText="1"/>
    </xf>
    <xf numFmtId="0" fontId="7" fillId="8" borderId="12" xfId="0" applyFont="1" applyFill="1" applyBorder="1" applyAlignment="1">
      <alignment horizontal="center" vertical="center"/>
    </xf>
    <xf numFmtId="0" fontId="11" fillId="3" borderId="12" xfId="0" applyFont="1" applyFill="1" applyBorder="1" applyAlignment="1">
      <alignment horizontal="left" vertical="center" wrapText="1"/>
    </xf>
    <xf numFmtId="0" fontId="7" fillId="3" borderId="17" xfId="0" applyFont="1" applyFill="1" applyBorder="1" applyAlignment="1">
      <alignment horizontal="center" vertical="center"/>
    </xf>
    <xf numFmtId="0" fontId="7" fillId="3" borderId="12" xfId="0" applyFont="1" applyFill="1" applyBorder="1" applyAlignment="1">
      <alignment horizontal="center" vertical="center" shrinkToFit="1"/>
    </xf>
    <xf numFmtId="0" fontId="10" fillId="3" borderId="13"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10" fillId="3" borderId="14" xfId="0" applyFont="1" applyFill="1" applyBorder="1" applyAlignment="1">
      <alignment horizontal="center" vertical="center" wrapText="1"/>
    </xf>
    <xf numFmtId="0" fontId="17" fillId="3" borderId="12" xfId="0" applyFont="1" applyFill="1" applyBorder="1" applyAlignment="1">
      <alignment horizontal="center" vertical="center" wrapText="1"/>
    </xf>
    <xf numFmtId="0" fontId="4" fillId="3" borderId="88" xfId="0" applyFont="1" applyFill="1" applyBorder="1" applyAlignment="1">
      <alignment horizontal="center"/>
    </xf>
    <xf numFmtId="0" fontId="4" fillId="3" borderId="85" xfId="0" applyFont="1" applyFill="1" applyBorder="1" applyAlignment="1">
      <alignment horizontal="center"/>
    </xf>
    <xf numFmtId="0" fontId="4" fillId="3" borderId="89" xfId="0" applyFont="1" applyFill="1" applyBorder="1" applyAlignment="1">
      <alignment horizontal="center"/>
    </xf>
    <xf numFmtId="0" fontId="4" fillId="3" borderId="19" xfId="0" applyFont="1" applyFill="1" applyBorder="1" applyAlignment="1">
      <alignment horizontal="center"/>
    </xf>
    <xf numFmtId="0" fontId="4" fillId="3" borderId="0" xfId="0" applyFont="1" applyFill="1" applyAlignment="1">
      <alignment horizontal="center"/>
    </xf>
    <xf numFmtId="0" fontId="4" fillId="3" borderId="90" xfId="0" applyFont="1" applyFill="1" applyBorder="1" applyAlignment="1">
      <alignment horizontal="center"/>
    </xf>
    <xf numFmtId="0" fontId="4" fillId="3" borderId="91" xfId="0" applyFont="1" applyFill="1" applyBorder="1" applyAlignment="1">
      <alignment horizontal="center"/>
    </xf>
    <xf numFmtId="0" fontId="4" fillId="3" borderId="18" xfId="0" applyFont="1" applyFill="1" applyBorder="1" applyAlignment="1">
      <alignment horizontal="center"/>
    </xf>
    <xf numFmtId="0" fontId="4" fillId="3" borderId="92" xfId="0" applyFont="1" applyFill="1" applyBorder="1" applyAlignment="1">
      <alignment horizontal="center"/>
    </xf>
    <xf numFmtId="0" fontId="6" fillId="3" borderId="19" xfId="0" applyFont="1" applyFill="1" applyBorder="1" applyAlignment="1">
      <alignment horizontal="center" vertical="center" wrapText="1"/>
    </xf>
    <xf numFmtId="0" fontId="6" fillId="3" borderId="0" xfId="0" applyFont="1" applyFill="1" applyAlignment="1">
      <alignment horizontal="center" vertical="center" wrapText="1"/>
    </xf>
    <xf numFmtId="0" fontId="6" fillId="3" borderId="84" xfId="0" applyFont="1" applyFill="1" applyBorder="1" applyAlignment="1">
      <alignment horizontal="center" vertical="center" wrapText="1"/>
    </xf>
    <xf numFmtId="0" fontId="6" fillId="3" borderId="9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97" xfId="0" applyFont="1" applyFill="1" applyBorder="1" applyAlignment="1">
      <alignment horizontal="center" vertical="center" wrapText="1"/>
    </xf>
    <xf numFmtId="0" fontId="15" fillId="3" borderId="60" xfId="0" applyFont="1" applyFill="1" applyBorder="1" applyAlignment="1">
      <alignment horizontal="center" vertical="center"/>
    </xf>
    <xf numFmtId="0" fontId="15" fillId="3" borderId="64" xfId="0" applyFont="1" applyFill="1" applyBorder="1" applyAlignment="1">
      <alignment horizontal="center" vertical="center"/>
    </xf>
    <xf numFmtId="0" fontId="15" fillId="3" borderId="96" xfId="0" applyFont="1" applyFill="1" applyBorder="1" applyAlignment="1">
      <alignment horizontal="center" vertical="center"/>
    </xf>
    <xf numFmtId="0" fontId="15" fillId="3" borderId="61" xfId="0" applyFont="1" applyFill="1" applyBorder="1" applyAlignment="1">
      <alignment horizontal="center" vertical="center"/>
    </xf>
    <xf numFmtId="0" fontId="15" fillId="3" borderId="2" xfId="0" applyFont="1" applyFill="1" applyBorder="1" applyAlignment="1">
      <alignment horizontal="center" vertical="center"/>
    </xf>
    <xf numFmtId="0" fontId="15" fillId="3" borderId="95" xfId="0" applyFont="1" applyFill="1" applyBorder="1" applyAlignment="1">
      <alignment horizontal="center" vertical="center"/>
    </xf>
    <xf numFmtId="0" fontId="15" fillId="3" borderId="80" xfId="0" applyFont="1" applyFill="1" applyBorder="1" applyAlignment="1">
      <alignment horizontal="center" vertical="center"/>
    </xf>
    <xf numFmtId="0" fontId="15" fillId="3" borderId="74" xfId="0" applyFont="1" applyFill="1" applyBorder="1" applyAlignment="1">
      <alignment horizontal="center" vertical="center"/>
    </xf>
    <xf numFmtId="0" fontId="15" fillId="3" borderId="93" xfId="0" applyFont="1" applyFill="1" applyBorder="1" applyAlignment="1">
      <alignment horizontal="center" vertical="center"/>
    </xf>
    <xf numFmtId="0" fontId="5" fillId="5" borderId="85" xfId="0" applyFont="1" applyFill="1" applyBorder="1" applyAlignment="1">
      <alignment horizontal="right" vertical="center"/>
    </xf>
    <xf numFmtId="0" fontId="5" fillId="5" borderId="98" xfId="0" applyFont="1" applyFill="1" applyBorder="1" applyAlignment="1">
      <alignment horizontal="right" vertical="center"/>
    </xf>
    <xf numFmtId="0" fontId="6" fillId="3" borderId="19" xfId="0" applyFont="1" applyFill="1" applyBorder="1" applyAlignment="1">
      <alignment horizontal="center" vertical="center"/>
    </xf>
    <xf numFmtId="0" fontId="6" fillId="3" borderId="0" xfId="0" applyFont="1" applyFill="1" applyAlignment="1">
      <alignment horizontal="center" vertical="center"/>
    </xf>
    <xf numFmtId="0" fontId="6" fillId="3" borderId="84" xfId="0" applyFont="1" applyFill="1" applyBorder="1" applyAlignment="1">
      <alignment horizontal="center" vertical="center"/>
    </xf>
    <xf numFmtId="0" fontId="6" fillId="3" borderId="94"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82" xfId="0" applyFont="1" applyFill="1" applyBorder="1" applyAlignment="1">
      <alignment horizontal="center" vertical="center"/>
    </xf>
    <xf numFmtId="0" fontId="14" fillId="10" borderId="87" xfId="0" applyFont="1" applyFill="1" applyBorder="1"/>
    <xf numFmtId="0" fontId="14" fillId="10" borderId="2" xfId="0" applyFont="1" applyFill="1" applyBorder="1"/>
    <xf numFmtId="0" fontId="14" fillId="10" borderId="3" xfId="0" applyFont="1" applyFill="1" applyBorder="1"/>
    <xf numFmtId="0" fontId="14" fillId="10" borderId="0" xfId="0" applyFont="1" applyFill="1"/>
    <xf numFmtId="0" fontId="14" fillId="10" borderId="104" xfId="0" applyFont="1" applyFill="1" applyBorder="1" applyAlignment="1">
      <alignment horizontal="left" vertical="center"/>
    </xf>
    <xf numFmtId="0" fontId="14" fillId="10" borderId="105" xfId="0" applyFont="1" applyFill="1" applyBorder="1" applyAlignment="1">
      <alignment horizontal="left" vertical="center"/>
    </xf>
    <xf numFmtId="0" fontId="4" fillId="10" borderId="103" xfId="0" applyFont="1" applyFill="1" applyBorder="1" applyAlignment="1">
      <alignment horizontal="center"/>
    </xf>
    <xf numFmtId="0" fontId="4" fillId="10" borderId="64" xfId="0" applyFont="1" applyFill="1" applyBorder="1" applyAlignment="1">
      <alignment horizontal="center" vertical="center"/>
    </xf>
    <xf numFmtId="0" fontId="4" fillId="10" borderId="2"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62" xfId="0" applyFont="1" applyFill="1" applyBorder="1" applyAlignment="1">
      <alignment horizontal="center" vertical="center"/>
    </xf>
    <xf numFmtId="0" fontId="14" fillId="10" borderId="32" xfId="0" applyFont="1" applyFill="1" applyBorder="1" applyAlignment="1">
      <alignment horizontal="center"/>
    </xf>
    <xf numFmtId="0" fontId="14" fillId="10" borderId="20" xfId="0" applyFont="1" applyFill="1" applyBorder="1" applyAlignment="1">
      <alignment horizontal="center"/>
    </xf>
    <xf numFmtId="0" fontId="14" fillId="10" borderId="23" xfId="0" applyFont="1" applyFill="1" applyBorder="1" applyAlignment="1">
      <alignment horizontal="center"/>
    </xf>
    <xf numFmtId="9" fontId="15" fillId="4" borderId="24" xfId="0" quotePrefix="1" applyNumberFormat="1" applyFont="1" applyFill="1" applyBorder="1" applyAlignment="1">
      <alignment horizontal="center" vertical="center"/>
    </xf>
    <xf numFmtId="9" fontId="15" fillId="4" borderId="27" xfId="0" quotePrefix="1" applyNumberFormat="1" applyFont="1" applyFill="1" applyBorder="1" applyAlignment="1">
      <alignment horizontal="center" vertical="center"/>
    </xf>
    <xf numFmtId="9" fontId="15" fillId="4" borderId="28" xfId="0" quotePrefix="1" applyNumberFormat="1" applyFont="1" applyFill="1" applyBorder="1" applyAlignment="1">
      <alignment horizontal="center" vertical="center"/>
    </xf>
    <xf numFmtId="9" fontId="15" fillId="4" borderId="31" xfId="0" quotePrefix="1" applyNumberFormat="1" applyFont="1" applyFill="1" applyBorder="1" applyAlignment="1">
      <alignment horizontal="center" vertical="center"/>
    </xf>
    <xf numFmtId="0" fontId="13" fillId="3" borderId="41" xfId="0" applyFont="1" applyFill="1" applyBorder="1" applyAlignment="1">
      <alignment horizontal="center"/>
    </xf>
    <xf numFmtId="0" fontId="13" fillId="3" borderId="36" xfId="0" applyFont="1" applyFill="1" applyBorder="1" applyAlignment="1">
      <alignment horizontal="center"/>
    </xf>
    <xf numFmtId="0" fontId="13" fillId="3" borderId="39" xfId="0" applyFont="1" applyFill="1" applyBorder="1" applyAlignment="1">
      <alignment horizontal="center"/>
    </xf>
    <xf numFmtId="1" fontId="15" fillId="4" borderId="56" xfId="0" quotePrefix="1" applyNumberFormat="1" applyFont="1" applyFill="1" applyBorder="1" applyAlignment="1">
      <alignment horizontal="center" vertical="center"/>
    </xf>
    <xf numFmtId="1" fontId="15" fillId="4" borderId="58" xfId="0" quotePrefix="1" applyNumberFormat="1" applyFont="1" applyFill="1" applyBorder="1" applyAlignment="1">
      <alignment horizontal="center" vertical="center"/>
    </xf>
    <xf numFmtId="16" fontId="14" fillId="3" borderId="48" xfId="0" quotePrefix="1" applyNumberFormat="1" applyFont="1" applyFill="1" applyBorder="1" applyAlignment="1">
      <alignment horizontal="center"/>
    </xf>
    <xf numFmtId="16" fontId="14" fillId="3" borderId="36" xfId="0" quotePrefix="1" applyNumberFormat="1" applyFont="1" applyFill="1" applyBorder="1" applyAlignment="1">
      <alignment horizontal="center"/>
    </xf>
    <xf numFmtId="16" fontId="14" fillId="3" borderId="39" xfId="0" quotePrefix="1" applyNumberFormat="1" applyFont="1" applyFill="1" applyBorder="1" applyAlignment="1">
      <alignment horizontal="center"/>
    </xf>
    <xf numFmtId="9" fontId="15" fillId="4" borderId="46" xfId="0" quotePrefix="1" applyNumberFormat="1" applyFont="1" applyFill="1" applyBorder="1" applyAlignment="1">
      <alignment horizontal="center" vertical="center"/>
    </xf>
    <xf numFmtId="9" fontId="15" fillId="4" borderId="47" xfId="0" quotePrefix="1" applyNumberFormat="1" applyFont="1" applyFill="1" applyBorder="1" applyAlignment="1">
      <alignment horizontal="center" vertical="center"/>
    </xf>
    <xf numFmtId="0" fontId="13" fillId="3" borderId="35" xfId="0" applyFont="1" applyFill="1" applyBorder="1" applyAlignment="1">
      <alignment horizontal="center"/>
    </xf>
    <xf numFmtId="1" fontId="15" fillId="4" borderId="54" xfId="0" quotePrefix="1" applyNumberFormat="1" applyFont="1" applyFill="1" applyBorder="1" applyAlignment="1">
      <alignment horizontal="center" vertical="center"/>
    </xf>
    <xf numFmtId="0" fontId="4" fillId="3" borderId="33" xfId="0" applyFont="1" applyFill="1" applyBorder="1" applyAlignment="1">
      <alignment horizontal="center" vertical="center"/>
    </xf>
    <xf numFmtId="0" fontId="4" fillId="3" borderId="24" xfId="0" applyFont="1" applyFill="1" applyBorder="1" applyAlignment="1">
      <alignment horizontal="center" vertical="center"/>
    </xf>
    <xf numFmtId="0" fontId="4" fillId="3" borderId="51" xfId="0" applyFont="1" applyFill="1" applyBorder="1" applyAlignment="1">
      <alignment horizontal="center" vertical="center"/>
    </xf>
    <xf numFmtId="0" fontId="4" fillId="3" borderId="43" xfId="0" applyFont="1" applyFill="1" applyBorder="1" applyAlignment="1">
      <alignment horizontal="center" vertical="center"/>
    </xf>
    <xf numFmtId="1" fontId="15" fillId="4" borderId="55" xfId="0" quotePrefix="1" applyNumberFormat="1" applyFont="1" applyFill="1" applyBorder="1" applyAlignment="1">
      <alignment horizontal="center" vertical="center"/>
    </xf>
    <xf numFmtId="1" fontId="15" fillId="4" borderId="56" xfId="0" applyNumberFormat="1" applyFont="1" applyFill="1" applyBorder="1" applyAlignment="1">
      <alignment horizontal="center" vertical="center"/>
    </xf>
    <xf numFmtId="0" fontId="4" fillId="3" borderId="50" xfId="0" applyFont="1" applyFill="1" applyBorder="1" applyAlignment="1">
      <alignment horizontal="center" vertical="center"/>
    </xf>
    <xf numFmtId="0" fontId="4" fillId="3" borderId="42"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0" fontId="4" fillId="3" borderId="34"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52" xfId="0" applyFont="1" applyFill="1" applyBorder="1" applyAlignment="1">
      <alignment horizontal="center" vertical="center"/>
    </xf>
    <xf numFmtId="0" fontId="4" fillId="3" borderId="44" xfId="0" applyFont="1" applyFill="1" applyBorder="1" applyAlignment="1">
      <alignment horizontal="center" vertical="center"/>
    </xf>
    <xf numFmtId="1" fontId="15" fillId="4" borderId="57" xfId="0" quotePrefix="1" applyNumberFormat="1" applyFont="1" applyFill="1" applyBorder="1" applyAlignment="1">
      <alignment horizontal="center" vertical="center"/>
    </xf>
    <xf numFmtId="1" fontId="15" fillId="4" borderId="58" xfId="0" applyNumberFormat="1" applyFont="1" applyFill="1" applyBorder="1" applyAlignment="1">
      <alignment horizontal="center" vertical="center"/>
    </xf>
    <xf numFmtId="0" fontId="14" fillId="3" borderId="35" xfId="0" applyFont="1" applyFill="1" applyBorder="1" applyAlignment="1">
      <alignment horizontal="center"/>
    </xf>
    <xf numFmtId="0" fontId="14" fillId="3" borderId="36" xfId="0" applyFont="1" applyFill="1" applyBorder="1" applyAlignment="1">
      <alignment horizontal="center"/>
    </xf>
    <xf numFmtId="0" fontId="14" fillId="3" borderId="48" xfId="0" applyFont="1" applyFill="1" applyBorder="1" applyAlignment="1">
      <alignment horizontal="center"/>
    </xf>
    <xf numFmtId="0" fontId="14" fillId="3" borderId="49" xfId="0" applyFont="1" applyFill="1" applyBorder="1" applyAlignment="1">
      <alignment horizontal="center"/>
    </xf>
    <xf numFmtId="1" fontId="15" fillId="4" borderId="53" xfId="0" quotePrefix="1" applyNumberFormat="1" applyFont="1" applyFill="1" applyBorder="1" applyAlignment="1">
      <alignment horizontal="center" vertical="center"/>
    </xf>
    <xf numFmtId="1" fontId="15" fillId="4" borderId="54" xfId="0" applyNumberFormat="1" applyFont="1" applyFill="1" applyBorder="1" applyAlignment="1">
      <alignment horizontal="center" vertical="center"/>
    </xf>
    <xf numFmtId="0" fontId="14" fillId="3" borderId="36" xfId="0" quotePrefix="1" applyFont="1" applyFill="1" applyBorder="1" applyAlignment="1">
      <alignment horizontal="center"/>
    </xf>
    <xf numFmtId="16" fontId="14" fillId="3" borderId="49" xfId="0" quotePrefix="1" applyNumberFormat="1" applyFont="1" applyFill="1" applyBorder="1" applyAlignment="1">
      <alignment horizontal="center"/>
    </xf>
    <xf numFmtId="0" fontId="14" fillId="3" borderId="48" xfId="0" quotePrefix="1" applyFont="1" applyFill="1" applyBorder="1" applyAlignment="1">
      <alignment horizontal="center"/>
    </xf>
    <xf numFmtId="0" fontId="14" fillId="3" borderId="35" xfId="0" applyFont="1" applyFill="1" applyBorder="1" applyAlignment="1">
      <alignment horizontal="right"/>
    </xf>
    <xf numFmtId="0" fontId="14" fillId="3" borderId="36" xfId="0" applyFont="1" applyFill="1" applyBorder="1" applyAlignment="1">
      <alignment horizontal="right"/>
    </xf>
    <xf numFmtId="0" fontId="14" fillId="3" borderId="40" xfId="0" applyFont="1" applyFill="1" applyBorder="1" applyAlignment="1">
      <alignment horizontal="right"/>
    </xf>
    <xf numFmtId="0" fontId="4" fillId="3" borderId="41" xfId="0" applyFont="1" applyFill="1" applyBorder="1" applyAlignment="1">
      <alignment horizontal="center"/>
    </xf>
    <xf numFmtId="0" fontId="4" fillId="3" borderId="36" xfId="0" applyFont="1" applyFill="1" applyBorder="1" applyAlignment="1">
      <alignment horizontal="center"/>
    </xf>
    <xf numFmtId="0" fontId="4" fillId="3" borderId="39" xfId="0" applyFont="1" applyFill="1" applyBorder="1" applyAlignment="1">
      <alignment horizontal="center"/>
    </xf>
    <xf numFmtId="168" fontId="4" fillId="3" borderId="41" xfId="0" applyNumberFormat="1" applyFont="1" applyFill="1" applyBorder="1" applyAlignment="1">
      <alignment horizontal="center"/>
    </xf>
    <xf numFmtId="168" fontId="4" fillId="3" borderId="36" xfId="0" applyNumberFormat="1" applyFont="1" applyFill="1" applyBorder="1" applyAlignment="1">
      <alignment horizontal="center"/>
    </xf>
    <xf numFmtId="167" fontId="4" fillId="3" borderId="99" xfId="0" applyNumberFormat="1" applyFont="1" applyFill="1" applyBorder="1" applyAlignment="1">
      <alignment horizontal="center"/>
    </xf>
    <xf numFmtId="167" fontId="4" fillId="3" borderId="36" xfId="0" applyNumberFormat="1" applyFont="1" applyFill="1" applyBorder="1" applyAlignment="1">
      <alignment horizontal="center"/>
    </xf>
    <xf numFmtId="167" fontId="4" fillId="3" borderId="39" xfId="0" applyNumberFormat="1" applyFont="1" applyFill="1" applyBorder="1" applyAlignment="1">
      <alignment horizontal="center"/>
    </xf>
    <xf numFmtId="0" fontId="14" fillId="3" borderId="80" xfId="0" applyFont="1" applyFill="1" applyBorder="1" applyAlignment="1">
      <alignment horizontal="center" vertical="top"/>
    </xf>
    <xf numFmtId="0" fontId="14" fillId="3" borderId="74" xfId="0" applyFont="1" applyFill="1" applyBorder="1" applyAlignment="1">
      <alignment horizontal="center" vertical="top"/>
    </xf>
    <xf numFmtId="0" fontId="14" fillId="3" borderId="81" xfId="0" applyFont="1" applyFill="1" applyBorder="1" applyAlignment="1">
      <alignment horizontal="center" vertical="top"/>
    </xf>
    <xf numFmtId="0" fontId="13" fillId="3" borderId="61" xfId="0" applyFont="1" applyFill="1" applyBorder="1" applyAlignment="1">
      <alignment horizontal="center"/>
    </xf>
    <xf numFmtId="0" fontId="13" fillId="3" borderId="2" xfId="0" applyFont="1" applyFill="1" applyBorder="1" applyAlignment="1">
      <alignment horizontal="center"/>
    </xf>
    <xf numFmtId="0" fontId="13" fillId="3" borderId="82" xfId="0" applyFont="1" applyFill="1" applyBorder="1" applyAlignment="1">
      <alignment horizontal="center"/>
    </xf>
    <xf numFmtId="0" fontId="4" fillId="3" borderId="35" xfId="0" applyFont="1" applyFill="1" applyBorder="1" applyAlignment="1">
      <alignment horizontal="center" vertical="top" wrapText="1"/>
    </xf>
    <xf numFmtId="0" fontId="4" fillId="3" borderId="36" xfId="0" applyFont="1" applyFill="1" applyBorder="1" applyAlignment="1">
      <alignment horizontal="center" vertical="top" wrapText="1"/>
    </xf>
    <xf numFmtId="0" fontId="4" fillId="3" borderId="37" xfId="0" applyFont="1" applyFill="1" applyBorder="1" applyAlignment="1">
      <alignment horizontal="center" vertical="top" wrapText="1"/>
    </xf>
    <xf numFmtId="0" fontId="4" fillId="3" borderId="38" xfId="0" applyFont="1" applyFill="1" applyBorder="1" applyAlignment="1">
      <alignment horizontal="center" vertical="top" wrapText="1"/>
    </xf>
    <xf numFmtId="0" fontId="4" fillId="3" borderId="39" xfId="0" applyFont="1" applyFill="1" applyBorder="1" applyAlignment="1">
      <alignment horizontal="center" vertical="top" wrapText="1"/>
    </xf>
    <xf numFmtId="0" fontId="4" fillId="3" borderId="24" xfId="0" applyFont="1" applyFill="1" applyBorder="1" applyAlignment="1">
      <alignment horizontal="center" vertical="top"/>
    </xf>
    <xf numFmtId="0" fontId="4" fillId="3" borderId="25" xfId="0" applyFont="1" applyFill="1" applyBorder="1" applyAlignment="1">
      <alignment horizontal="center" vertical="top"/>
    </xf>
    <xf numFmtId="0" fontId="4" fillId="3" borderId="26" xfId="0" applyFont="1" applyFill="1" applyBorder="1" applyAlignment="1">
      <alignment horizontal="center" vertical="top"/>
    </xf>
    <xf numFmtId="0" fontId="4" fillId="3" borderId="27" xfId="0" applyFont="1" applyFill="1" applyBorder="1" applyAlignment="1">
      <alignment horizontal="center" vertical="top"/>
    </xf>
    <xf numFmtId="0" fontId="4" fillId="3" borderId="28" xfId="0" applyFont="1" applyFill="1" applyBorder="1" applyAlignment="1">
      <alignment horizontal="center" vertical="top"/>
    </xf>
    <xf numFmtId="0" fontId="4" fillId="3" borderId="29" xfId="0" applyFont="1" applyFill="1" applyBorder="1" applyAlignment="1">
      <alignment horizontal="center" vertical="top"/>
    </xf>
    <xf numFmtId="0" fontId="4" fillId="3" borderId="30" xfId="0" applyFont="1" applyFill="1" applyBorder="1" applyAlignment="1">
      <alignment horizontal="center" vertical="top"/>
    </xf>
    <xf numFmtId="0" fontId="4" fillId="3" borderId="31" xfId="0" applyFont="1" applyFill="1" applyBorder="1" applyAlignment="1">
      <alignment horizontal="center" vertical="top"/>
    </xf>
    <xf numFmtId="0" fontId="13" fillId="3" borderId="0" xfId="0" applyFont="1" applyFill="1" applyAlignment="1">
      <alignment horizontal="center"/>
    </xf>
    <xf numFmtId="0" fontId="4" fillId="3" borderId="20" xfId="0" applyFont="1" applyFill="1" applyBorder="1" applyAlignment="1">
      <alignment horizontal="center" vertical="top" wrapText="1"/>
    </xf>
    <xf numFmtId="0" fontId="4" fillId="3" borderId="21" xfId="0" applyFont="1" applyFill="1" applyBorder="1" applyAlignment="1">
      <alignment horizontal="center" vertical="top" wrapText="1"/>
    </xf>
    <xf numFmtId="0" fontId="4" fillId="3" borderId="22" xfId="0" applyFont="1" applyFill="1" applyBorder="1" applyAlignment="1">
      <alignment horizontal="center" vertical="top" wrapText="1"/>
    </xf>
    <xf numFmtId="0" fontId="4" fillId="3" borderId="23" xfId="0" applyFont="1" applyFill="1" applyBorder="1" applyAlignment="1">
      <alignment horizontal="center" vertical="top" wrapText="1"/>
    </xf>
    <xf numFmtId="0" fontId="4" fillId="3" borderId="33" xfId="0" applyFont="1" applyFill="1" applyBorder="1" applyAlignment="1">
      <alignment horizontal="center"/>
    </xf>
    <xf numFmtId="0" fontId="4" fillId="3" borderId="27" xfId="0" applyFont="1" applyFill="1" applyBorder="1" applyAlignment="1">
      <alignment horizontal="center"/>
    </xf>
    <xf numFmtId="0" fontId="4" fillId="3" borderId="34" xfId="0" applyFont="1" applyFill="1" applyBorder="1" applyAlignment="1">
      <alignment horizontal="center"/>
    </xf>
    <xf numFmtId="0" fontId="4" fillId="3" borderId="31" xfId="0" applyFont="1" applyFill="1" applyBorder="1" applyAlignment="1">
      <alignment horizontal="center"/>
    </xf>
    <xf numFmtId="0" fontId="14" fillId="3" borderId="33" xfId="0" applyFont="1" applyFill="1" applyBorder="1" applyAlignment="1">
      <alignment horizontal="left" vertical="center" wrapText="1"/>
    </xf>
    <xf numFmtId="0" fontId="14" fillId="3" borderId="24" xfId="0" applyFont="1" applyFill="1" applyBorder="1" applyAlignment="1">
      <alignment horizontal="left" vertical="center" wrapText="1"/>
    </xf>
    <xf numFmtId="0" fontId="14" fillId="3" borderId="34" xfId="0" applyFont="1" applyFill="1" applyBorder="1" applyAlignment="1">
      <alignment horizontal="left" vertical="center" wrapText="1"/>
    </xf>
    <xf numFmtId="0" fontId="14" fillId="3" borderId="28" xfId="0" applyFont="1" applyFill="1" applyBorder="1" applyAlignment="1">
      <alignment horizontal="left" vertical="center" wrapText="1"/>
    </xf>
    <xf numFmtId="0" fontId="14" fillId="3" borderId="28" xfId="0" applyFont="1" applyFill="1" applyBorder="1" applyAlignment="1">
      <alignment horizontal="left" vertical="top"/>
    </xf>
    <xf numFmtId="0" fontId="4" fillId="3" borderId="32" xfId="0" applyFont="1" applyFill="1" applyBorder="1" applyAlignment="1">
      <alignment horizontal="center"/>
    </xf>
    <xf numFmtId="0" fontId="4" fillId="3" borderId="23" xfId="0" applyFont="1" applyFill="1" applyBorder="1" applyAlignment="1">
      <alignment horizontal="center"/>
    </xf>
    <xf numFmtId="0" fontId="14" fillId="3" borderId="32" xfId="0" applyFont="1" applyFill="1" applyBorder="1" applyAlignment="1">
      <alignment horizontal="left" vertical="center" wrapText="1"/>
    </xf>
    <xf numFmtId="0" fontId="14" fillId="3" borderId="20" xfId="0" applyFont="1" applyFill="1" applyBorder="1" applyAlignment="1">
      <alignment horizontal="left" vertical="center" wrapText="1"/>
    </xf>
    <xf numFmtId="1" fontId="15" fillId="4" borderId="51" xfId="0" quotePrefix="1" applyNumberFormat="1" applyFont="1" applyFill="1" applyBorder="1" applyAlignment="1">
      <alignment horizontal="center" vertical="center"/>
    </xf>
    <xf numFmtId="1" fontId="15" fillId="4" borderId="24" xfId="0" quotePrefix="1" applyNumberFormat="1" applyFont="1" applyFill="1" applyBorder="1" applyAlignment="1">
      <alignment horizontal="center" vertical="center"/>
    </xf>
    <xf numFmtId="1" fontId="15" fillId="4" borderId="83" xfId="0" quotePrefix="1" applyNumberFormat="1" applyFont="1" applyFill="1" applyBorder="1" applyAlignment="1">
      <alignment horizontal="center" vertical="center"/>
    </xf>
    <xf numFmtId="1" fontId="15" fillId="4" borderId="52" xfId="0" quotePrefix="1" applyNumberFormat="1" applyFont="1" applyFill="1" applyBorder="1" applyAlignment="1">
      <alignment horizontal="center" vertical="center"/>
    </xf>
    <xf numFmtId="1" fontId="15" fillId="4" borderId="28" xfId="0" quotePrefix="1" applyNumberFormat="1" applyFont="1" applyFill="1" applyBorder="1" applyAlignment="1">
      <alignment horizontal="center" vertical="center"/>
    </xf>
    <xf numFmtId="1" fontId="15" fillId="4" borderId="63" xfId="0" quotePrefix="1" applyNumberFormat="1" applyFont="1" applyFill="1" applyBorder="1" applyAlignment="1">
      <alignment horizontal="center" vertical="center"/>
    </xf>
    <xf numFmtId="0" fontId="14" fillId="3" borderId="49" xfId="0" quotePrefix="1" applyFont="1" applyFill="1" applyBorder="1" applyAlignment="1">
      <alignment horizontal="center"/>
    </xf>
    <xf numFmtId="1" fontId="15" fillId="4" borderId="50" xfId="0" quotePrefix="1" applyNumberFormat="1" applyFont="1" applyFill="1" applyBorder="1" applyAlignment="1">
      <alignment horizontal="center" vertical="center"/>
    </xf>
    <xf numFmtId="1" fontId="15" fillId="4" borderId="20" xfId="0" quotePrefix="1" applyNumberFormat="1" applyFont="1" applyFill="1" applyBorder="1" applyAlignment="1">
      <alignment horizontal="center" vertical="center"/>
    </xf>
    <xf numFmtId="1" fontId="15" fillId="4" borderId="100" xfId="0" quotePrefix="1" applyNumberFormat="1" applyFont="1" applyFill="1" applyBorder="1" applyAlignment="1">
      <alignment horizontal="center" vertical="center"/>
    </xf>
    <xf numFmtId="0" fontId="14" fillId="3" borderId="28" xfId="0" applyFont="1" applyFill="1" applyBorder="1" applyAlignment="1">
      <alignment horizontal="left"/>
    </xf>
    <xf numFmtId="0" fontId="4" fillId="3" borderId="52" xfId="0" applyFont="1" applyFill="1" applyBorder="1" applyAlignment="1">
      <alignment horizontal="center" vertical="top" wrapText="1"/>
    </xf>
    <xf numFmtId="0" fontId="4" fillId="3" borderId="63" xfId="0" applyFont="1" applyFill="1" applyBorder="1" applyAlignment="1">
      <alignment horizontal="center" vertical="top" wrapText="1"/>
    </xf>
    <xf numFmtId="2" fontId="10" fillId="3" borderId="35" xfId="0" applyNumberFormat="1" applyFont="1" applyFill="1" applyBorder="1" applyAlignment="1">
      <alignment horizontal="center" shrinkToFit="1"/>
    </xf>
    <xf numFmtId="2" fontId="10" fillId="3" borderId="75" xfId="0" applyNumberFormat="1" applyFont="1" applyFill="1" applyBorder="1" applyAlignment="1">
      <alignment horizontal="center" shrinkToFit="1"/>
    </xf>
    <xf numFmtId="2" fontId="10" fillId="3" borderId="76" xfId="0" applyNumberFormat="1" applyFont="1" applyFill="1" applyBorder="1" applyAlignment="1">
      <alignment horizontal="center" shrinkToFit="1"/>
    </xf>
    <xf numFmtId="0" fontId="14" fillId="3" borderId="51" xfId="0" applyFont="1" applyFill="1" applyBorder="1" applyAlignment="1">
      <alignment horizontal="center"/>
    </xf>
    <xf numFmtId="0" fontId="14" fillId="3" borderId="24" xfId="0" applyFont="1" applyFill="1" applyBorder="1" applyAlignment="1">
      <alignment horizontal="center"/>
    </xf>
    <xf numFmtId="0" fontId="14" fillId="3" borderId="83" xfId="0" applyFont="1" applyFill="1" applyBorder="1" applyAlignment="1">
      <alignment horizontal="center"/>
    </xf>
    <xf numFmtId="0" fontId="14" fillId="3" borderId="63" xfId="0" applyFont="1" applyFill="1" applyBorder="1" applyAlignment="1">
      <alignment horizontal="left"/>
    </xf>
    <xf numFmtId="2" fontId="10" fillId="3" borderId="39" xfId="0" applyNumberFormat="1" applyFont="1" applyFill="1" applyBorder="1" applyAlignment="1">
      <alignment horizontal="center" shrinkToFit="1"/>
    </xf>
    <xf numFmtId="0" fontId="14" fillId="3" borderId="31" xfId="0" applyFont="1" applyFill="1" applyBorder="1" applyAlignment="1">
      <alignment horizontal="left"/>
    </xf>
    <xf numFmtId="0" fontId="14" fillId="3" borderId="36" xfId="0" applyFont="1" applyFill="1" applyBorder="1" applyAlignment="1">
      <alignment horizontal="left"/>
    </xf>
    <xf numFmtId="0" fontId="14" fillId="3" borderId="39" xfId="0" applyFont="1" applyFill="1" applyBorder="1" applyAlignment="1">
      <alignment horizontal="left"/>
    </xf>
    <xf numFmtId="2" fontId="14" fillId="3" borderId="36" xfId="0" applyNumberFormat="1" applyFont="1" applyFill="1" applyBorder="1" applyAlignment="1">
      <alignment horizontal="left"/>
    </xf>
    <xf numFmtId="9" fontId="15" fillId="4" borderId="51" xfId="0" quotePrefix="1" applyNumberFormat="1" applyFont="1" applyFill="1" applyBorder="1" applyAlignment="1">
      <alignment horizontal="center" vertical="center"/>
    </xf>
    <xf numFmtId="0" fontId="14" fillId="3" borderId="2" xfId="0" applyFont="1" applyFill="1" applyBorder="1" applyAlignment="1">
      <alignment horizontal="left"/>
    </xf>
    <xf numFmtId="9" fontId="15" fillId="4" borderId="52" xfId="0" quotePrefix="1" applyNumberFormat="1" applyFont="1" applyFill="1" applyBorder="1" applyAlignment="1">
      <alignment horizontal="center" vertical="center"/>
    </xf>
    <xf numFmtId="16" fontId="14" fillId="3" borderId="40" xfId="0" quotePrefix="1" applyNumberFormat="1" applyFont="1" applyFill="1" applyBorder="1" applyAlignment="1">
      <alignment horizontal="center"/>
    </xf>
    <xf numFmtId="9" fontId="15" fillId="4" borderId="50" xfId="0" quotePrefix="1" applyNumberFormat="1" applyFont="1" applyFill="1" applyBorder="1" applyAlignment="1">
      <alignment horizontal="center" vertical="center"/>
    </xf>
    <xf numFmtId="9" fontId="15" fillId="4" borderId="20" xfId="0" quotePrefix="1" applyNumberFormat="1" applyFont="1" applyFill="1" applyBorder="1" applyAlignment="1">
      <alignment horizontal="center" vertical="center"/>
    </xf>
    <xf numFmtId="9" fontId="15" fillId="4" borderId="23" xfId="0" quotePrefix="1" applyNumberFormat="1" applyFont="1" applyFill="1" applyBorder="1" applyAlignment="1">
      <alignment horizontal="center" vertical="center"/>
    </xf>
    <xf numFmtId="0" fontId="4" fillId="2" borderId="0" xfId="0" applyFont="1" applyFill="1" applyAlignment="1">
      <alignment horizontal="center"/>
    </xf>
    <xf numFmtId="0" fontId="0" fillId="0" borderId="0" xfId="0" applyNumberFormat="1" applyAlignment="1">
      <alignment horizontal="left" wrapText="1"/>
    </xf>
  </cellXfs>
  <cellStyles count="3">
    <cellStyle name="Normal" xfId="0" builtinId="0"/>
    <cellStyle name="Normal 2" xfId="1" xr:uid="{00000000-0005-0000-0000-000001000000}"/>
    <cellStyle name="Percent" xfId="2" builtinId="5"/>
  </cellStyles>
  <dxfs count="302">
    <dxf>
      <alignment horizontal="general" vertical="bottom" textRotation="0" wrapText="1" indent="0" justifyLastLine="0" shrinkToFit="0" readingOrder="0"/>
    </dxf>
    <dxf>
      <fill>
        <patternFill>
          <bgColor rgb="FFD9BBB5"/>
        </patternFill>
      </fill>
    </dxf>
    <dxf>
      <fill>
        <patternFill>
          <bgColor rgb="FFD9BBB5"/>
        </patternFill>
      </fill>
    </dxf>
    <dxf>
      <fill>
        <patternFill>
          <bgColor rgb="FFD9BBB5"/>
        </patternFill>
      </fill>
    </dxf>
    <dxf>
      <fill>
        <patternFill>
          <bgColor theme="7" tint="0.7999816888943144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72" formatCode="#\ ???/???"/>
    </dxf>
    <dxf>
      <numFmt numFmtId="172" formatCode="#\ ???/???"/>
    </dxf>
    <dxf>
      <numFmt numFmtId="172" formatCode="#\ ???/???"/>
    </dxf>
    <dxf>
      <numFmt numFmtId="172" formatCode="#\ ???/???"/>
    </dxf>
    <dxf>
      <fill>
        <patternFill>
          <bgColor theme="6"/>
        </patternFill>
      </fill>
    </dxf>
    <dxf>
      <fill>
        <patternFill>
          <bgColor rgb="FFD9BBB5"/>
        </patternFill>
      </fill>
    </dxf>
    <dxf>
      <font>
        <b/>
        <i val="0"/>
      </font>
    </dxf>
    <dxf>
      <font>
        <strike/>
        <color rgb="FFC9C9C9"/>
      </font>
    </dxf>
    <dxf>
      <font>
        <color rgb="FF9C6500"/>
      </font>
      <fill>
        <patternFill>
          <bgColor rgb="FFFFEB9C"/>
        </patternFill>
      </fill>
    </dxf>
    <dxf>
      <font>
        <color rgb="FF9C0006"/>
      </font>
      <fill>
        <patternFill>
          <bgColor rgb="FFFFC7CE"/>
        </patternFill>
      </fill>
    </dxf>
    <dxf>
      <font>
        <color rgb="FFF2F2F2"/>
      </font>
      <fill>
        <patternFill>
          <bgColor rgb="FFC00000"/>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rgb="FF006100"/>
      </font>
      <fill>
        <patternFill>
          <bgColor rgb="FFC6EFCE"/>
        </patternFill>
      </fill>
    </dxf>
    <dxf>
      <fill>
        <patternFill>
          <bgColor theme="6"/>
        </patternFill>
      </fill>
    </dxf>
    <dxf>
      <fill>
        <patternFill>
          <bgColor theme="6"/>
        </patternFill>
      </fill>
    </dxf>
    <dxf>
      <fill>
        <patternFill>
          <bgColor theme="6"/>
        </patternFill>
      </fill>
    </dxf>
    <dxf>
      <fill>
        <patternFill>
          <bgColor theme="6"/>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6"/>
        </patternFill>
      </fill>
    </dxf>
    <dxf>
      <fill>
        <patternFill>
          <bgColor rgb="FFD9BBB5"/>
        </patternFill>
      </fill>
    </dxf>
    <dxf>
      <fill>
        <patternFill>
          <bgColor rgb="FFD9BBB5"/>
        </patternFill>
      </fill>
    </dxf>
    <dxf>
      <fill>
        <patternFill>
          <bgColor rgb="FFD9BBB5"/>
        </patternFill>
      </fill>
    </dxf>
    <dxf>
      <font>
        <color rgb="FFC9C9C9"/>
      </font>
      <fill>
        <patternFill>
          <bgColor rgb="FFF2F2F2"/>
        </patternFill>
      </fill>
    </dxf>
    <dxf>
      <font>
        <color rgb="FFC9C9C9"/>
      </font>
      <fill>
        <patternFill>
          <bgColor rgb="FFF2F2F2"/>
        </patternFill>
      </fill>
    </dxf>
    <dxf>
      <font>
        <color theme="5" tint="-0.24994659260841701"/>
      </font>
      <fill>
        <patternFill patternType="solid">
          <fgColor theme="4" tint="0.39988402966399123"/>
          <bgColor theme="7" tint="0.79998168889431442"/>
        </patternFill>
      </fill>
    </dxf>
    <dxf>
      <font>
        <color rgb="FF006100"/>
      </font>
      <fill>
        <patternFill>
          <bgColor rgb="FFC6EFCE"/>
        </patternFill>
      </fill>
    </dxf>
    <dxf>
      <font>
        <color rgb="FFC9C9C9"/>
      </font>
      <fill>
        <patternFill>
          <bgColor rgb="FFF2F2F2"/>
        </patternFill>
      </fill>
    </dxf>
    <dxf>
      <font>
        <color theme="0" tint="-4.9989318521683403E-2"/>
      </font>
      <fill>
        <patternFill>
          <bgColor theme="0" tint="-4.9989318521683403E-2"/>
        </patternFill>
      </fill>
    </dxf>
    <dxf>
      <numFmt numFmtId="0" formatCode="General"/>
      <alignment horizontal="left" vertical="bottom" textRotation="0" wrapText="1" indent="0" justifyLastLine="0" shrinkToFit="0" readingOrder="0"/>
    </dxf>
    <dxf>
      <numFmt numFmtId="0" formatCode="General"/>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alignment horizontal="left" vertical="center" textRotation="0" wrapText="0" indent="0" justifyLastLine="0" shrinkToFit="0" readingOrder="0"/>
    </dxf>
    <dxf>
      <numFmt numFmtId="168" formatCode="0\ &quot;EXP&quot;"/>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5A362F"/>
        <name val="Calibri"/>
        <scheme val="minor"/>
      </font>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5" formatCode="&quot;+&quot;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dxf>
    <dxf>
      <fill>
        <patternFill patternType="solid">
          <fgColor indexed="64"/>
          <bgColor theme="0"/>
        </patternFill>
      </fill>
      <alignment horizontal="right" vertical="bottom"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numFmt numFmtId="0" formatCode="Genera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font>
    </dxf>
    <dxf>
      <font>
        <b/>
        <i val="0"/>
      </font>
      <border>
        <bottom style="medium">
          <color rgb="FF5A362F"/>
        </bottom>
      </border>
    </dxf>
    <dxf>
      <fill>
        <patternFill>
          <bgColor theme="0" tint="-4.9989318521683403E-2"/>
        </patternFill>
      </fill>
      <border>
        <left style="medium">
          <color rgb="FF5A362F"/>
        </left>
        <right style="medium">
          <color rgb="FF5A362F"/>
        </right>
        <top style="medium">
          <color rgb="FF5A362F"/>
        </top>
        <bottom style="medium">
          <color rgb="FF5A362F"/>
        </bottom>
        <horizontal style="hair">
          <color rgb="FF5A362F"/>
        </horizontal>
      </border>
    </dxf>
    <dxf>
      <fill>
        <patternFill>
          <bgColor theme="0"/>
        </patternFill>
      </fill>
    </dxf>
    <dxf>
      <fill>
        <patternFill>
          <bgColor theme="5" tint="0.79998168889431442"/>
        </patternFill>
      </fill>
    </dxf>
    <dxf>
      <font>
        <color theme="0"/>
      </font>
      <fill>
        <patternFill>
          <bgColor rgb="FFFF0000"/>
        </patternFill>
      </fill>
    </dxf>
  </dxfs>
  <tableStyles count="2" defaultTableStyle="TableStyleMedium2" defaultPivotStyle="PivotStyleLight16">
    <tableStyle name="Table Style 1" pivot="0" count="3" xr9:uid="{00000000-0011-0000-FFFF-FFFF00000000}">
      <tableStyleElement type="headerRow" dxfId="301"/>
      <tableStyleElement type="firstRowStripe" dxfId="300"/>
      <tableStyleElement type="secondRowStripe" dxfId="299"/>
    </tableStyle>
    <tableStyle name="Table Style 2" pivot="0" count="3" xr9:uid="{00000000-0011-0000-FFFF-FFFF01000000}">
      <tableStyleElement type="wholeTable" dxfId="298"/>
      <tableStyleElement type="headerRow" dxfId="297"/>
      <tableStyleElement type="firstColumn" dxfId="296"/>
    </tableStyle>
  </tableStyles>
  <colors>
    <mruColors>
      <color rgb="FFF2F2F2"/>
      <color rgb="FFC9C9C9"/>
      <color rgb="FF5A362F"/>
      <color rgb="FFF8696B"/>
      <color rgb="FFD9BBB5"/>
      <color rgb="FFFFFFFF"/>
      <color rgb="FFD9B5BB"/>
      <color rgb="FF000000"/>
      <color rgb="FFFFF2F2"/>
      <color rgb="FF47C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7" dropStyle="combo" dx="22" fmlaRange="'Aux Lists'!$L$5:$L$12" sel="8"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2.jpg"/></Relationships>
</file>

<file path=xl/drawings/_rels/drawing5.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1371600</xdr:colOff>
          <xdr:row>0</xdr:row>
          <xdr:rowOff>171450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27</xdr:col>
          <xdr:colOff>0</xdr:colOff>
          <xdr:row>2</xdr:row>
          <xdr:rowOff>9525</xdr:rowOff>
        </xdr:from>
        <xdr:to>
          <xdr:col>35</xdr:col>
          <xdr:colOff>133350</xdr:colOff>
          <xdr:row>3</xdr:row>
          <xdr:rowOff>133350</xdr:rowOff>
        </xdr:to>
        <xdr:sp macro="" textlink="">
          <xdr:nvSpPr>
            <xdr:cNvPr id="4103" name="CMBPlayer"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6</xdr:row>
          <xdr:rowOff>9525</xdr:rowOff>
        </xdr:from>
        <xdr:to>
          <xdr:col>35</xdr:col>
          <xdr:colOff>133350</xdr:colOff>
          <xdr:row>7</xdr:row>
          <xdr:rowOff>133350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0</xdr:row>
          <xdr:rowOff>19050</xdr:rowOff>
        </xdr:from>
        <xdr:to>
          <xdr:col>35</xdr:col>
          <xdr:colOff>133350</xdr:colOff>
          <xdr:row>1</xdr:row>
          <xdr:rowOff>142875</xdr:rowOff>
        </xdr:to>
        <xdr:sp macro="" textlink="">
          <xdr:nvSpPr>
            <xdr:cNvPr id="4130" name="Button 34"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4</xdr:row>
          <xdr:rowOff>19050</xdr:rowOff>
        </xdr:from>
        <xdr:to>
          <xdr:col>31</xdr:col>
          <xdr:colOff>76200</xdr:colOff>
          <xdr:row>5</xdr:row>
          <xdr:rowOff>142875</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65</xdr:row>
          <xdr:rowOff>28575</xdr:rowOff>
        </xdr:from>
        <xdr:to>
          <xdr:col>8</xdr:col>
          <xdr:colOff>142875</xdr:colOff>
          <xdr:row>65</xdr:row>
          <xdr:rowOff>190500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Modify Dropdown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64</xdr:row>
          <xdr:rowOff>9525</xdr:rowOff>
        </xdr:from>
        <xdr:to>
          <xdr:col>8</xdr:col>
          <xdr:colOff>142875</xdr:colOff>
          <xdr:row>65</xdr:row>
          <xdr:rowOff>19050</xdr:rowOff>
        </xdr:to>
        <xdr:sp macro="" textlink="">
          <xdr:nvSpPr>
            <xdr:cNvPr id="4139" name="Button 43" hidden="1">
              <a:extLst>
                <a:ext uri="{63B3BB69-23CF-44E3-9099-C40C66FF867C}">
                  <a14:compatExt spid="_x0000_s4139"/>
                </a:ext>
                <a:ext uri="{FF2B5EF4-FFF2-40B4-BE49-F238E27FC236}">
                  <a16:creationId xmlns:a16="http://schemas.microsoft.com/office/drawing/2014/main" id="{00000000-0008-0000-0200-00002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Show/Hide 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76200</xdr:colOff>
          <xdr:row>4</xdr:row>
          <xdr:rowOff>19050</xdr:rowOff>
        </xdr:from>
        <xdr:to>
          <xdr:col>35</xdr:col>
          <xdr:colOff>133350</xdr:colOff>
          <xdr:row>5</xdr:row>
          <xdr:rowOff>142875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Loot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66</xdr:row>
          <xdr:rowOff>0</xdr:rowOff>
        </xdr:from>
        <xdr:to>
          <xdr:col>8</xdr:col>
          <xdr:colOff>142875</xdr:colOff>
          <xdr:row>67</xdr:row>
          <xdr:rowOff>9525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Modify Dropdown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66</xdr:row>
          <xdr:rowOff>0</xdr:rowOff>
        </xdr:from>
        <xdr:to>
          <xdr:col>8</xdr:col>
          <xdr:colOff>142875</xdr:colOff>
          <xdr:row>67</xdr:row>
          <xdr:rowOff>9525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View Quick Start Info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704850</xdr:colOff>
          <xdr:row>3</xdr:row>
          <xdr:rowOff>9525</xdr:rowOff>
        </xdr:from>
        <xdr:to>
          <xdr:col>7</xdr:col>
          <xdr:colOff>0</xdr:colOff>
          <xdr:row>3</xdr:row>
          <xdr:rowOff>180975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3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19050</xdr:rowOff>
        </xdr:from>
        <xdr:to>
          <xdr:col>4</xdr:col>
          <xdr:colOff>0</xdr:colOff>
          <xdr:row>1</xdr:row>
          <xdr:rowOff>180975</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300-000005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ea typeface="Calibri"/>
                  <a:cs typeface="Calibri"/>
                </a:rPr>
                <a:t>Award 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xdr:row>
          <xdr:rowOff>0</xdr:rowOff>
        </xdr:from>
        <xdr:to>
          <xdr:col>7</xdr:col>
          <xdr:colOff>0</xdr:colOff>
          <xdr:row>1</xdr:row>
          <xdr:rowOff>190500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300-000006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Creature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0</xdr:row>
          <xdr:rowOff>0</xdr:rowOff>
        </xdr:from>
        <xdr:to>
          <xdr:col>7</xdr:col>
          <xdr:colOff>0</xdr:colOff>
          <xdr:row>0</xdr:row>
          <xdr:rowOff>180975</xdr:rowOff>
        </xdr:to>
        <xdr:sp macro="" textlink="">
          <xdr:nvSpPr>
            <xdr:cNvPr id="19463" name="Button 7" hidden="1">
              <a:extLst>
                <a:ext uri="{63B3BB69-23CF-44E3-9099-C40C66FF867C}">
                  <a14:compatExt spid="_x0000_s19463"/>
                </a:ext>
                <a:ext uri="{FF2B5EF4-FFF2-40B4-BE49-F238E27FC236}">
                  <a16:creationId xmlns:a16="http://schemas.microsoft.com/office/drawing/2014/main" id="{00000000-0008-0000-0300-000007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Loot</a:t>
              </a:r>
            </a:p>
          </xdr:txBody>
        </xdr:sp>
        <xdr:clientData fPrintsWithSheet="0"/>
      </xdr:twoCellAnchor>
    </mc:Choice>
    <mc:Fallback/>
  </mc:AlternateContent>
  <xdr:twoCellAnchor editAs="oneCell">
    <xdr:from>
      <xdr:col>14</xdr:col>
      <xdr:colOff>9525</xdr:colOff>
      <xdr:row>2</xdr:row>
      <xdr:rowOff>160271</xdr:rowOff>
    </xdr:from>
    <xdr:to>
      <xdr:col>18</xdr:col>
      <xdr:colOff>9524</xdr:colOff>
      <xdr:row>15</xdr:row>
      <xdr:rowOff>180975</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145" t="21849" r="11293" b="13357"/>
        <a:stretch/>
      </xdr:blipFill>
      <xdr:spPr>
        <a:xfrm>
          <a:off x="12963525" y="550796"/>
          <a:ext cx="2305049" cy="2497204"/>
        </a:xfrm>
        <a:prstGeom prst="rect">
          <a:avLst/>
        </a:prstGeom>
        <a:ln w="12700">
          <a:solidFill>
            <a:srgbClr val="F2F2F2"/>
          </a:solidFill>
        </a:ln>
        <a:effectLst/>
      </xdr:spPr>
    </xdr:pic>
    <xdr:clientData/>
  </xdr:twoCellAnchor>
  <mc:AlternateContent xmlns:mc="http://schemas.openxmlformats.org/markup-compatibility/2006">
    <mc:Choice xmlns:a14="http://schemas.microsoft.com/office/drawing/2010/main" Requires="a14">
      <xdr:twoCellAnchor>
        <xdr:from>
          <xdr:col>5</xdr:col>
          <xdr:colOff>9525</xdr:colOff>
          <xdr:row>0</xdr:row>
          <xdr:rowOff>0</xdr:rowOff>
        </xdr:from>
        <xdr:to>
          <xdr:col>6</xdr:col>
          <xdr:colOff>0</xdr:colOff>
          <xdr:row>1</xdr:row>
          <xdr:rowOff>190500</xdr:rowOff>
        </xdr:to>
        <xdr:sp macro="" textlink="">
          <xdr:nvSpPr>
            <xdr:cNvPr id="19465" name="Button 9" hidden="1">
              <a:extLst>
                <a:ext uri="{63B3BB69-23CF-44E3-9099-C40C66FF867C}">
                  <a14:compatExt spid="_x0000_s19465"/>
                </a:ext>
                <a:ext uri="{FF2B5EF4-FFF2-40B4-BE49-F238E27FC236}">
                  <a16:creationId xmlns:a16="http://schemas.microsoft.com/office/drawing/2014/main" id="{00000000-0008-0000-0300-000009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Sort Initiatives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0</xdr:rowOff>
        </xdr:from>
        <xdr:to>
          <xdr:col>5</xdr:col>
          <xdr:colOff>0</xdr:colOff>
          <xdr:row>1</xdr:row>
          <xdr:rowOff>190500</xdr:rowOff>
        </xdr:to>
        <xdr:sp macro="" textlink="">
          <xdr:nvSpPr>
            <xdr:cNvPr id="19470" name="Button 14" hidden="1">
              <a:extLst>
                <a:ext uri="{63B3BB69-23CF-44E3-9099-C40C66FF867C}">
                  <a14:compatExt spid="_x0000_s19470"/>
                </a:ext>
                <a:ext uri="{FF2B5EF4-FFF2-40B4-BE49-F238E27FC236}">
                  <a16:creationId xmlns:a16="http://schemas.microsoft.com/office/drawing/2014/main" id="{00000000-0008-0000-0300-00000E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0</xdr:rowOff>
        </xdr:from>
        <xdr:to>
          <xdr:col>8</xdr:col>
          <xdr:colOff>0</xdr:colOff>
          <xdr:row>1</xdr:row>
          <xdr:rowOff>190500</xdr:rowOff>
        </xdr:to>
        <xdr:sp macro="" textlink="">
          <xdr:nvSpPr>
            <xdr:cNvPr id="19471" name="Button 15" hidden="1">
              <a:extLst>
                <a:ext uri="{63B3BB69-23CF-44E3-9099-C40C66FF867C}">
                  <a14:compatExt spid="_x0000_s19471"/>
                </a:ext>
                <a:ext uri="{FF2B5EF4-FFF2-40B4-BE49-F238E27FC236}">
                  <a16:creationId xmlns:a16="http://schemas.microsoft.com/office/drawing/2014/main" id="{00000000-0008-0000-0300-00000F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Sort Defeated Enemies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4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4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4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4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Ready</a:t>
              </a:r>
            </a:p>
          </xdr:txBody>
        </xdr:sp>
        <xdr:clientData fPrintsWithSheet="0"/>
      </xdr:twoCellAnchor>
    </mc:Choice>
    <mc:Fallback/>
  </mc:AlternateContent>
  <xdr:twoCellAnchor editAs="oneCell">
    <xdr:from>
      <xdr:col>20</xdr:col>
      <xdr:colOff>0</xdr:colOff>
      <xdr:row>4</xdr:row>
      <xdr:rowOff>19051</xdr:rowOff>
    </xdr:from>
    <xdr:to>
      <xdr:col>31</xdr:col>
      <xdr:colOff>190499</xdr:colOff>
      <xdr:row>11</xdr:row>
      <xdr:rowOff>171450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610" t="42814" r="5268" b="15309"/>
        <a:stretch/>
      </xdr:blipFill>
      <xdr:spPr>
        <a:xfrm>
          <a:off x="3810000" y="781051"/>
          <a:ext cx="2285999" cy="1485899"/>
        </a:xfrm>
        <a:prstGeom prst="rect">
          <a:avLst/>
        </a:prstGeom>
        <a:effectLst>
          <a:softEdge rad="31750"/>
        </a:effec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19050</xdr:colOff>
          <xdr:row>31</xdr:row>
          <xdr:rowOff>9525</xdr:rowOff>
        </xdr:from>
        <xdr:to>
          <xdr:col>41</xdr:col>
          <xdr:colOff>9525</xdr:colOff>
          <xdr:row>31</xdr:row>
          <xdr:rowOff>180975</xdr:rowOff>
        </xdr:to>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500-00001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31</xdr:row>
          <xdr:rowOff>9525</xdr:rowOff>
        </xdr:from>
        <xdr:to>
          <xdr:col>51</xdr:col>
          <xdr:colOff>0</xdr:colOff>
          <xdr:row>31</xdr:row>
          <xdr:rowOff>180975</xdr:rowOff>
        </xdr:to>
        <xdr:sp macro="" textlink="">
          <xdr:nvSpPr>
            <xdr:cNvPr id="12310" name="Button 22" hidden="1">
              <a:extLst>
                <a:ext uri="{63B3BB69-23CF-44E3-9099-C40C66FF867C}">
                  <a14:compatExt spid="_x0000_s12310"/>
                </a:ext>
                <a:ext uri="{FF2B5EF4-FFF2-40B4-BE49-F238E27FC236}">
                  <a16:creationId xmlns:a16="http://schemas.microsoft.com/office/drawing/2014/main" id="{00000000-0008-0000-0500-00001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19050</xdr:colOff>
          <xdr:row>33</xdr:row>
          <xdr:rowOff>9525</xdr:rowOff>
        </xdr:from>
        <xdr:to>
          <xdr:col>41</xdr:col>
          <xdr:colOff>9525</xdr:colOff>
          <xdr:row>33</xdr:row>
          <xdr:rowOff>180975</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5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33</xdr:row>
          <xdr:rowOff>9525</xdr:rowOff>
        </xdr:from>
        <xdr:to>
          <xdr:col>51</xdr:col>
          <xdr:colOff>0</xdr:colOff>
          <xdr:row>33</xdr:row>
          <xdr:rowOff>180975</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5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Ready</a:t>
              </a:r>
            </a:p>
          </xdr:txBody>
        </xdr:sp>
        <xdr:clientData fPrintsWithSheet="0"/>
      </xdr:twoCellAnchor>
    </mc:Choice>
    <mc:Fallback/>
  </mc:AlternateContent>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a:effectLst>
          <a:softEdge rad="31750"/>
        </a:effec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3</xdr:col>
          <xdr:colOff>0</xdr:colOff>
          <xdr:row>0</xdr:row>
          <xdr:rowOff>180975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7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New Blank Loot Table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0</xdr:row>
          <xdr:rowOff>0</xdr:rowOff>
        </xdr:from>
        <xdr:to>
          <xdr:col>0</xdr:col>
          <xdr:colOff>1581150</xdr:colOff>
          <xdr:row>0</xdr:row>
          <xdr:rowOff>180975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A Creature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YesNo" displayName="YesNo" ref="A2:A4" totalsRowShown="0">
  <autoFilter ref="A2:A4" xr:uid="{00000000-0009-0000-0100-000008000000}"/>
  <tableColumns count="1">
    <tableColumn id="1" xr3:uid="{00000000-0010-0000-0000-000001000000}" name="YesNo"/>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EXPThresholds" displayName="EXPThresholds" ref="C2:G22" totalsRowShown="0">
  <autoFilter ref="C2:G22" xr:uid="{00000000-0009-0000-0100-000009000000}"/>
  <tableColumns count="5">
    <tableColumn id="1" xr3:uid="{00000000-0010-0000-0100-000001000000}" name="Level"/>
    <tableColumn id="2" xr3:uid="{00000000-0010-0000-0100-000002000000}" name="Easy"/>
    <tableColumn id="3" xr3:uid="{00000000-0010-0000-0100-000003000000}" name="Medium"/>
    <tableColumn id="4" xr3:uid="{00000000-0010-0000-0100-000004000000}" name="Hard"/>
    <tableColumn id="5" xr3:uid="{00000000-0010-0000-0100-000005000000}" name="Deadly"/>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2000000}" name="Numbers" displayName="Numbers" ref="L2:L74" totalsRowShown="0">
  <autoFilter ref="L2:L74" xr:uid="{00000000-0009-0000-0100-00000E000000}"/>
  <tableColumns count="1">
    <tableColumn id="1" xr3:uid="{00000000-0010-0000-0200-000001000000}" name="Numbers"/>
  </tableColumns>
  <tableStyleInfo name="Table Style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EncounterMultiplier" displayName="EncounterMultiplier" ref="I2:J8" totalsRowShown="0">
  <autoFilter ref="I2:J8" xr:uid="{00000000-0009-0000-0100-00000D000000}"/>
  <tableColumns count="2">
    <tableColumn id="1" xr3:uid="{00000000-0010-0000-0300-000001000000}" name="Enemies"/>
    <tableColumn id="2" xr3:uid="{00000000-0010-0000-0300-000002000000}" name="Multiplier"/>
  </tableColumns>
  <tableStyleInfo name="Table Style 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4000000}" name="Table15" displayName="Table15" ref="N2:R22" totalsRowShown="0" headerRowDxfId="295" dataDxfId="294">
  <autoFilter ref="N2:R22" xr:uid="{00000000-0009-0000-0100-00000F000000}"/>
  <tableColumns count="5">
    <tableColumn id="1" xr3:uid="{00000000-0010-0000-0400-000001000000}" name="Character Level" dataDxfId="293"/>
    <tableColumn id="2" xr3:uid="{00000000-0010-0000-0400-000002000000}" name="Easy" dataDxfId="292"/>
    <tableColumn id="3" xr3:uid="{00000000-0010-0000-0400-000003000000}" name="Medium" dataDxfId="291"/>
    <tableColumn id="4" xr3:uid="{00000000-0010-0000-0400-000004000000}" name="Hard" dataDxfId="290"/>
    <tableColumn id="5" xr3:uid="{00000000-0010-0000-0400-000005000000}" name="Deadly" dataDxfId="289"/>
  </tableColumns>
  <tableStyleInfo name="Table Style 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CREXP" displayName="CREXP" ref="T2:U34" totalsRowShown="0" headerRowDxfId="288" dataDxfId="287">
  <autoFilter ref="T2:U34" xr:uid="{00000000-0009-0000-0100-000010000000}"/>
  <tableColumns count="2">
    <tableColumn id="1" xr3:uid="{00000000-0010-0000-0500-000001000000}" name="CR" dataDxfId="286"/>
    <tableColumn id="2" xr3:uid="{00000000-0010-0000-0500-000002000000}" name="EXP" dataDxfId="285"/>
  </tableColumns>
  <tableStyleInfo name="Table Style 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PlayerToCreature" displayName="PlayerToCreature" ref="W2:AT22" totalsRowShown="0" headerRowDxfId="284" dataDxfId="283">
  <autoFilter ref="W2:AT22" xr:uid="{00000000-0009-0000-0100-000011000000}"/>
  <tableColumns count="24">
    <tableColumn id="24" xr3:uid="{00000000-0010-0000-0600-000018000000}" name="Level" dataDxfId="282"/>
    <tableColumn id="1" xr3:uid="{00000000-0010-0000-0600-000001000000}" name="1/8" dataDxfId="281"/>
    <tableColumn id="2" xr3:uid="{00000000-0010-0000-0600-000002000000}" name="1/4" dataDxfId="280"/>
    <tableColumn id="3" xr3:uid="{00000000-0010-0000-0600-000003000000}" name="1/2" dataDxfId="279"/>
    <tableColumn id="4" xr3:uid="{00000000-0010-0000-0600-000004000000}" name="1" dataDxfId="278"/>
    <tableColumn id="5" xr3:uid="{00000000-0010-0000-0600-000005000000}" name="2" dataDxfId="277"/>
    <tableColumn id="6" xr3:uid="{00000000-0010-0000-0600-000006000000}" name="3" dataDxfId="276"/>
    <tableColumn id="7" xr3:uid="{00000000-0010-0000-0600-000007000000}" name="4" dataDxfId="275"/>
    <tableColumn id="8" xr3:uid="{00000000-0010-0000-0600-000008000000}" name="5" dataDxfId="274"/>
    <tableColumn id="9" xr3:uid="{00000000-0010-0000-0600-000009000000}" name="6" dataDxfId="273"/>
    <tableColumn id="10" xr3:uid="{00000000-0010-0000-0600-00000A000000}" name="7" dataDxfId="272"/>
    <tableColumn id="11" xr3:uid="{00000000-0010-0000-0600-00000B000000}" name="8" dataDxfId="271"/>
    <tableColumn id="12" xr3:uid="{00000000-0010-0000-0600-00000C000000}" name="9" dataDxfId="270"/>
    <tableColumn id="13" xr3:uid="{00000000-0010-0000-0600-00000D000000}" name="10" dataDxfId="269"/>
    <tableColumn id="14" xr3:uid="{00000000-0010-0000-0600-00000E000000}" name="11" dataDxfId="268"/>
    <tableColumn id="15" xr3:uid="{00000000-0010-0000-0600-00000F000000}" name="12" dataDxfId="267"/>
    <tableColumn id="16" xr3:uid="{00000000-0010-0000-0600-000010000000}" name="13" dataDxfId="266"/>
    <tableColumn id="17" xr3:uid="{00000000-0010-0000-0600-000011000000}" name="14" dataDxfId="265"/>
    <tableColumn id="18" xr3:uid="{00000000-0010-0000-0600-000012000000}" name="15" dataDxfId="264"/>
    <tableColumn id="19" xr3:uid="{00000000-0010-0000-0600-000013000000}" name="16" dataDxfId="263"/>
    <tableColumn id="20" xr3:uid="{00000000-0010-0000-0600-000014000000}" name="17" dataDxfId="262"/>
    <tableColumn id="21" xr3:uid="{00000000-0010-0000-0600-000015000000}" name="18" dataDxfId="261"/>
    <tableColumn id="22" xr3:uid="{00000000-0010-0000-0600-000016000000}" name="19" dataDxfId="260"/>
    <tableColumn id="23" xr3:uid="{00000000-0010-0000-0600-000017000000}" name="20" dataDxfId="259"/>
  </tableColumns>
  <tableStyleInfo name="Table Style 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PlayerLevel" displayName="PlayerLevel" ref="AV2:AW12" totalsRowShown="0">
  <autoFilter ref="AV2:AW12" xr:uid="{00000000-0009-0000-0100-000019000000}"/>
  <tableColumns count="2">
    <tableColumn id="1" xr3:uid="{00000000-0010-0000-0700-000001000000}" name="Player" dataDxfId="258">
      <calculatedColumnFormula>'Player Manager'!J11</calculatedColumnFormula>
    </tableColumn>
    <tableColumn id="2" xr3:uid="{00000000-0010-0000-0700-000002000000}" name="Level"/>
  </tableColumns>
  <tableStyleInfo name="Table Style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8000000}" name="LegitimateSources" displayName="LegitimateSources" ref="AY2:AY42" totalsRowShown="0" dataDxfId="257">
  <autoFilter ref="AY2:AY42" xr:uid="{00000000-0009-0000-0100-000018000000}"/>
  <tableColumns count="1">
    <tableColumn id="1" xr3:uid="{00000000-0010-0000-0800-000001000000}" name="Legitimate Sources" dataDxfId="256"/>
  </tableColumns>
  <tableStyleInfo name="Table Style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9000000}" name="ActivePlayers" displayName="ActivePlayers" ref="BA2:BB12" totalsRowShown="0" headerRowDxfId="255">
  <autoFilter ref="BA2:BB12" xr:uid="{00000000-0009-0000-0100-00001A000000}"/>
  <tableColumns count="2">
    <tableColumn id="1" xr3:uid="{00000000-0010-0000-0900-000001000000}" name="Name" dataDxfId="254"/>
    <tableColumn id="2" xr3:uid="{00000000-0010-0000-0900-000002000000}" name="Active" dataDxfId="253"/>
  </tableColumns>
  <tableStyleInfo name="Table Style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A000000}" name="BeholderEyeRays" displayName="BeholderEyeRays" ref="BD2:BE12" totalsRowShown="0" headerRowDxfId="252" dataDxfId="251">
  <autoFilter ref="BD2:BE12" xr:uid="{00000000-0009-0000-0100-000002000000}"/>
  <tableColumns count="2">
    <tableColumn id="2" xr3:uid="{00000000-0010-0000-0A00-000002000000}" name="Names" dataDxfId="250"/>
    <tableColumn id="1" xr3:uid="{00000000-0010-0000-0A00-000001000000}" name="Beholder Eye Rays" dataDxfId="249"/>
  </tableColumns>
  <tableStyleInfo name="Table Style 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B000000}" name="MagicItemValue" displayName="MagicItemValue" ref="BG2:BH8" totalsRowShown="0" headerRowDxfId="248" dataDxfId="247">
  <autoFilter ref="BG2:BH8" xr:uid="{00000000-0009-0000-0100-000039000000}"/>
  <tableColumns count="2">
    <tableColumn id="1" xr3:uid="{00000000-0010-0000-0B00-000001000000}" name="Rarity" dataDxfId="246"/>
    <tableColumn id="2" xr3:uid="{00000000-0010-0000-0B00-000002000000}" name="Value Range" dataDxfId="245"/>
  </tableColumns>
  <tableStyleInfo name="Table Style 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LingeringInjuries" displayName="LingeringInjuries" ref="A2:C11" totalsRowShown="0" headerRowDxfId="244" dataDxfId="243" headerRowCellStyle="Normal" dataCellStyle="Normal">
  <autoFilter ref="A2:C11" xr:uid="{00000000-0009-0000-0100-00000A000000}"/>
  <tableColumns count="3">
    <tableColumn id="1" xr3:uid="{00000000-0010-0000-0C00-000001000000}" name="Injury" dataDxfId="242" dataCellStyle="Normal"/>
    <tableColumn id="2" xr3:uid="{00000000-0010-0000-0C00-000002000000}" name="Effect" dataDxfId="241" dataCellStyle="Normal"/>
    <tableColumn id="3" xr3:uid="{00000000-0010-0000-0C00-000003000000}" name="d20" dataDxfId="240" dataCellStyle="Normal"/>
  </tableColumns>
  <tableStyleInfo name="Table Style 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D000000}" name="Levels" displayName="Levels" ref="F2:H22" totalsRowShown="0" headerRowDxfId="239" dataDxfId="238">
  <autoFilter ref="F2:H22" xr:uid="{00000000-0009-0000-0100-000013000000}"/>
  <tableColumns count="3">
    <tableColumn id="1" xr3:uid="{00000000-0010-0000-0D00-000001000000}" name="Level" dataDxfId="237"/>
    <tableColumn id="2" xr3:uid="{00000000-0010-0000-0D00-000002000000}" name="XP" dataDxfId="236"/>
    <tableColumn id="3" xr3:uid="{00000000-0010-0000-0D00-000003000000}" name="Proficiency" dataDxfId="235"/>
  </tableColumns>
  <tableStyleInfo name="Table Style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E000000}" name="Conditions" displayName="Conditions" ref="K2:L23" totalsRowShown="0" headerRowDxfId="234" dataDxfId="233">
  <autoFilter ref="K2:L23" xr:uid="{00000000-0009-0000-0100-000014000000}"/>
  <tableColumns count="2">
    <tableColumn id="1" xr3:uid="{00000000-0010-0000-0E00-000001000000}" name="Condition" dataDxfId="232"/>
    <tableColumn id="2" xr3:uid="{00000000-0010-0000-0E00-000002000000}" name="Effect" dataDxfId="231"/>
  </tableColumns>
  <tableStyleInfo name="Table Style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Races" displayName="Races" ref="N2:Q74" totalsRowShown="0">
  <autoFilter ref="N2:Q74" xr:uid="{00000000-0009-0000-0100-000015000000}"/>
  <sortState xmlns:xlrd2="http://schemas.microsoft.com/office/spreadsheetml/2017/richdata2" ref="N3:Q74">
    <sortCondition ref="N2:N74"/>
  </sortState>
  <tableColumns count="4">
    <tableColumn id="1" xr3:uid="{00000000-0010-0000-0F00-000001000000}" name="Race"/>
    <tableColumn id="2" xr3:uid="{00000000-0010-0000-0F00-000002000000}" name="Immunities/Resistances" dataDxfId="0"/>
    <tableColumn id="4" xr3:uid="{00000000-0010-0000-0F00-000004000000}" name="Lift/Carry"/>
    <tableColumn id="3" xr3:uid="{00000000-0010-0000-0F00-000003000000}" name="Size"/>
  </tableColumns>
  <tableStyleInfo name="Table Style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0000000}" name="Classes" displayName="Classes" ref="S2:S16" totalsRowShown="0">
  <autoFilter ref="S2:S16" xr:uid="{00000000-0009-0000-0100-000016000000}"/>
  <tableColumns count="1">
    <tableColumn id="1" xr3:uid="{00000000-0010-0000-1000-000001000000}" name="Class"/>
  </tableColumns>
  <tableStyleInfo name="Table Style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1000000}" name="Armors" displayName="Armors" ref="U2:Y17" totalsRowShown="0">
  <autoFilter ref="U2:Y17" xr:uid="{00000000-0009-0000-0100-000017000000}"/>
  <tableColumns count="5">
    <tableColumn id="1" xr3:uid="{00000000-0010-0000-1100-000001000000}" name="Name"/>
    <tableColumn id="2" xr3:uid="{00000000-0010-0000-1100-000002000000}" name="Value"/>
    <tableColumn id="4" xr3:uid="{00000000-0010-0000-1100-000004000000}" name="Weight"/>
    <tableColumn id="5" xr3:uid="{00000000-0010-0000-1100-000005000000}" name="Properties"/>
    <tableColumn id="6" xr3:uid="{00000000-0010-0000-1100-000006000000}" name="Type"/>
  </tableColumns>
  <tableStyleInfo name="Table Style 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12000000}" name="Encounter" displayName="Encounter" ref="A4:M18" totalsRowShown="0" headerRowDxfId="230" dataDxfId="229">
  <sortState xmlns:xlrd2="http://schemas.microsoft.com/office/spreadsheetml/2017/richdata2" ref="A5:M18">
    <sortCondition descending="1" ref="C5:C18"/>
    <sortCondition descending="1" ref="J5:J18"/>
  </sortState>
  <tableColumns count="13">
    <tableColumn id="1" xr3:uid="{00000000-0010-0000-1200-000001000000}" name="Creature" dataDxfId="228">
      <calculatedColumnFormula>IF(Encounter[[#This Row],[Wound]]&gt;=Encounter[[#This Row],[HP Max]],"Rat (Unconcious)","Rat")</calculatedColumnFormula>
    </tableColumn>
    <tableColumn id="2" xr3:uid="{00000000-0010-0000-1200-000002000000}" name="#" dataDxfId="227"/>
    <tableColumn id="3" xr3:uid="{00000000-0010-0000-1200-000003000000}" name="Initiative" dataDxfId="226"/>
    <tableColumn id="13" xr3:uid="{00000000-0010-0000-1200-00000D000000}" name="Concentration" dataDxfId="225"/>
    <tableColumn id="4" xr3:uid="{00000000-0010-0000-1200-000004000000}" name="HP Max" dataDxfId="224"/>
    <tableColumn id="5" xr3:uid="{00000000-0010-0000-1200-000005000000}" name="Wound" dataDxfId="223"/>
    <tableColumn id="6" xr3:uid="{00000000-0010-0000-1200-000006000000}" name="Condition" dataDxfId="222"/>
    <tableColumn id="7" xr3:uid="{00000000-0010-0000-1200-000007000000}" name="Size" dataDxfId="221"/>
    <tableColumn id="8" xr3:uid="{00000000-0010-0000-1200-000008000000}" name="AC" dataDxfId="220"/>
    <tableColumn id="12" xr3:uid="{00000000-0010-0000-1200-00000C000000}" name="Initiative Modifier" dataDxfId="219"/>
    <tableColumn id="9" xr3:uid="{00000000-0010-0000-1200-000009000000}" name="CR" dataDxfId="218"/>
    <tableColumn id="10" xr3:uid="{00000000-0010-0000-1200-00000A000000}" name="Unweighted EXP Value" dataDxfId="217"/>
    <tableColumn id="11" xr3:uid="{00000000-0010-0000-1200-00000B000000}" name="Source" dataDxfId="216"/>
  </tableColumns>
  <tableStyleInfo name="Table Style 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3000000}" name="SavedEncounters" displayName="SavedEncounters" ref="A1:BI2" totalsRowShown="0" headerRowDxfId="215" dataDxfId="214">
  <autoFilter ref="A1:BI2" xr:uid="{00000000-0009-0000-0100-000004000000}"/>
  <tableColumns count="61">
    <tableColumn id="1" xr3:uid="{00000000-0010-0000-1300-000001000000}" name="Encounter Name" dataDxfId="213"/>
    <tableColumn id="2" xr3:uid="{00000000-0010-0000-1300-000002000000}" name="Creature 1" dataDxfId="212"/>
    <tableColumn id="3" xr3:uid="{00000000-0010-0000-1300-000003000000}" name="#" dataDxfId="211"/>
    <tableColumn id="4" xr3:uid="{00000000-0010-0000-1300-000004000000}" name="Creature 2" dataDxfId="210"/>
    <tableColumn id="5" xr3:uid="{00000000-0010-0000-1300-000005000000}" name="#2" dataDxfId="209"/>
    <tableColumn id="6" xr3:uid="{00000000-0010-0000-1300-000006000000}" name="Creature 3" dataDxfId="208"/>
    <tableColumn id="7" xr3:uid="{00000000-0010-0000-1300-000007000000}" name="#3" dataDxfId="207"/>
    <tableColumn id="8" xr3:uid="{00000000-0010-0000-1300-000008000000}" name="Creature 4" dataDxfId="206"/>
    <tableColumn id="9" xr3:uid="{00000000-0010-0000-1300-000009000000}" name="#4" dataDxfId="205"/>
    <tableColumn id="10" xr3:uid="{00000000-0010-0000-1300-00000A000000}" name="Creature 5" dataDxfId="204"/>
    <tableColumn id="11" xr3:uid="{00000000-0010-0000-1300-00000B000000}" name="#5" dataDxfId="203"/>
    <tableColumn id="12" xr3:uid="{00000000-0010-0000-1300-00000C000000}" name="Creature 6" dataDxfId="202"/>
    <tableColumn id="13" xr3:uid="{00000000-0010-0000-1300-00000D000000}" name="#6" dataDxfId="201"/>
    <tableColumn id="14" xr3:uid="{00000000-0010-0000-1300-00000E000000}" name="Creature 7" dataDxfId="200"/>
    <tableColumn id="15" xr3:uid="{00000000-0010-0000-1300-00000F000000}" name="#7" dataDxfId="199"/>
    <tableColumn id="16" xr3:uid="{00000000-0010-0000-1300-000010000000}" name="Creature 8" dataDxfId="198"/>
    <tableColumn id="17" xr3:uid="{00000000-0010-0000-1300-000011000000}" name="#8" dataDxfId="197"/>
    <tableColumn id="18" xr3:uid="{00000000-0010-0000-1300-000012000000}" name="Creature 9" dataDxfId="196"/>
    <tableColumn id="19" xr3:uid="{00000000-0010-0000-1300-000013000000}" name="#9" dataDxfId="195"/>
    <tableColumn id="20" xr3:uid="{00000000-0010-0000-1300-000014000000}" name="Creature 10" dataDxfId="194"/>
    <tableColumn id="21" xr3:uid="{00000000-0010-0000-1300-000015000000}" name="#10" dataDxfId="193"/>
    <tableColumn id="22" xr3:uid="{00000000-0010-0000-1300-000016000000}" name="Creature 11" dataDxfId="192"/>
    <tableColumn id="23" xr3:uid="{00000000-0010-0000-1300-000017000000}" name="#11" dataDxfId="191"/>
    <tableColumn id="24" xr3:uid="{00000000-0010-0000-1300-000018000000}" name="Creature 12" dataDxfId="190"/>
    <tableColumn id="25" xr3:uid="{00000000-0010-0000-1300-000019000000}" name="#12" dataDxfId="189"/>
    <tableColumn id="26" xr3:uid="{00000000-0010-0000-1300-00001A000000}" name="Creature 13" dataDxfId="188"/>
    <tableColumn id="27" xr3:uid="{00000000-0010-0000-1300-00001B000000}" name="#13" dataDxfId="187"/>
    <tableColumn id="28" xr3:uid="{00000000-0010-0000-1300-00001C000000}" name="Creature 14" dataDxfId="186"/>
    <tableColumn id="29" xr3:uid="{00000000-0010-0000-1300-00001D000000}" name="#14" dataDxfId="185"/>
    <tableColumn id="30" xr3:uid="{00000000-0010-0000-1300-00001E000000}" name="Creature 15" dataDxfId="184"/>
    <tableColumn id="31" xr3:uid="{00000000-0010-0000-1300-00001F000000}" name="#15" dataDxfId="183"/>
    <tableColumn id="32" xr3:uid="{00000000-0010-0000-1300-000020000000}" name="Creature 16" dataDxfId="182"/>
    <tableColumn id="33" xr3:uid="{00000000-0010-0000-1300-000021000000}" name="#16" dataDxfId="181"/>
    <tableColumn id="34" xr3:uid="{00000000-0010-0000-1300-000022000000}" name="Creature 17" dataDxfId="180"/>
    <tableColumn id="35" xr3:uid="{00000000-0010-0000-1300-000023000000}" name="#17" dataDxfId="179"/>
    <tableColumn id="36" xr3:uid="{00000000-0010-0000-1300-000024000000}" name="Creature 18" dataDxfId="178"/>
    <tableColumn id="37" xr3:uid="{00000000-0010-0000-1300-000025000000}" name="#18" dataDxfId="177"/>
    <tableColumn id="38" xr3:uid="{00000000-0010-0000-1300-000026000000}" name="Creature 19" dataDxfId="176"/>
    <tableColumn id="39" xr3:uid="{00000000-0010-0000-1300-000027000000}" name="#19" dataDxfId="175"/>
    <tableColumn id="40" xr3:uid="{00000000-0010-0000-1300-000028000000}" name="Creature 20" dataDxfId="174"/>
    <tableColumn id="41" xr3:uid="{00000000-0010-0000-1300-000029000000}" name="#20" dataDxfId="173"/>
    <tableColumn id="42" xr3:uid="{00000000-0010-0000-1300-00002A000000}" name="Creature 21" dataDxfId="172"/>
    <tableColumn id="43" xr3:uid="{00000000-0010-0000-1300-00002B000000}" name="#21" dataDxfId="171"/>
    <tableColumn id="44" xr3:uid="{00000000-0010-0000-1300-00002C000000}" name="Creature 22" dataDxfId="170"/>
    <tableColumn id="45" xr3:uid="{00000000-0010-0000-1300-00002D000000}" name="#22" dataDxfId="169"/>
    <tableColumn id="46" xr3:uid="{00000000-0010-0000-1300-00002E000000}" name="Creature 23" dataDxfId="168"/>
    <tableColumn id="47" xr3:uid="{00000000-0010-0000-1300-00002F000000}" name="#23" dataDxfId="167"/>
    <tableColumn id="48" xr3:uid="{00000000-0010-0000-1300-000030000000}" name="Creature 24" dataDxfId="166"/>
    <tableColumn id="49" xr3:uid="{00000000-0010-0000-1300-000031000000}" name="#24" dataDxfId="165"/>
    <tableColumn id="50" xr3:uid="{00000000-0010-0000-1300-000032000000}" name="Creature 25" dataDxfId="164"/>
    <tableColumn id="51" xr3:uid="{00000000-0010-0000-1300-000033000000}" name="#25" dataDxfId="163"/>
    <tableColumn id="52" xr3:uid="{00000000-0010-0000-1300-000034000000}" name="Creature 26" dataDxfId="162"/>
    <tableColumn id="53" xr3:uid="{00000000-0010-0000-1300-000035000000}" name="#26" dataDxfId="161"/>
    <tableColumn id="54" xr3:uid="{00000000-0010-0000-1300-000036000000}" name="Creature 27" dataDxfId="160"/>
    <tableColumn id="55" xr3:uid="{00000000-0010-0000-1300-000037000000}" name="#27" dataDxfId="159"/>
    <tableColumn id="56" xr3:uid="{00000000-0010-0000-1300-000038000000}" name="Creature 28" dataDxfId="158"/>
    <tableColumn id="57" xr3:uid="{00000000-0010-0000-1300-000039000000}" name="#28" dataDxfId="157"/>
    <tableColumn id="58" xr3:uid="{00000000-0010-0000-1300-00003A000000}" name="Creature 29" dataDxfId="156"/>
    <tableColumn id="59" xr3:uid="{00000000-0010-0000-1300-00003B000000}" name="#29" dataDxfId="155"/>
    <tableColumn id="60" xr3:uid="{00000000-0010-0000-1300-00003C000000}" name="Creature 30" dataDxfId="154"/>
    <tableColumn id="61" xr3:uid="{00000000-0010-0000-1300-00003D000000}" name="#30" dataDxfId="153"/>
  </tableColumns>
  <tableStyleInfo name="Table Style 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4000000}" name="LootTable1" displayName="LootTable1" ref="A3:C5" totalsRowShown="0" headerRowDxfId="152" dataDxfId="151">
  <autoFilter ref="A3:C5" xr:uid="{00000000-0009-0000-0100-00001F000000}"/>
  <sortState xmlns:xlrd2="http://schemas.microsoft.com/office/spreadsheetml/2017/richdata2" ref="A4:C5">
    <sortCondition ref="A3:A5"/>
  </sortState>
  <tableColumns count="3">
    <tableColumn id="1" xr3:uid="{00000000-0010-0000-1400-000001000000}" name="Item" dataDxfId="150"/>
    <tableColumn id="3" xr3:uid="{00000000-0010-0000-1400-000003000000}" name="Weight" dataDxfId="149"/>
    <tableColumn id="4" xr3:uid="{00000000-0010-0000-1400-000004000000}" name="% Chance" dataDxfId="148" dataCellStyle="Percent">
      <calculatedColumnFormula>IFERROR(LootTable1[[#This Row],[Weight]]/SUM(LootTable1[Weight]),"-")</calculatedColumnFormula>
    </tableColumn>
  </tableColumns>
  <tableStyleInfo name="Table Style 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2D000000}" name="Creatures" displayName="Creatures" ref="A1:I5" totalsRowShown="0" headerRowDxfId="96" dataDxfId="95" tableBorderDxfId="94">
  <autoFilter ref="A1:I5" xr:uid="{00000000-0009-0000-0100-000001000000}"/>
  <tableColumns count="9">
    <tableColumn id="1" xr3:uid="{00000000-0010-0000-2D00-000001000000}" name="Block" dataDxfId="93"/>
    <tableColumn id="2" xr3:uid="{00000000-0010-0000-2D00-000002000000}" name="Size" dataDxfId="92"/>
    <tableColumn id="4" xr3:uid="{00000000-0010-0000-2D00-000004000000}" name="AC" dataDxfId="91"/>
    <tableColumn id="5" xr3:uid="{00000000-0010-0000-2D00-000005000000}" name="HP" dataDxfId="90"/>
    <tableColumn id="20" xr3:uid="{00000000-0010-0000-2D00-000014000000}" name="CR" dataDxfId="89"/>
    <tableColumn id="21" xr3:uid="{00000000-0010-0000-2D00-000015000000}" name="EXP" dataDxfId="88">
      <calculatedColumnFormula>IF(Creatures[[#This Row],[CR]]="","",VLOOKUP(Creatures[[#This Row],[CR]],CREXP[#All],2,FALSE))</calculatedColumnFormula>
    </tableColumn>
    <tableColumn id="26" xr3:uid="{00000000-0010-0000-2D00-00001A000000}" name="Source" dataDxfId="87"/>
    <tableColumn id="3" xr3:uid="{00000000-0010-0000-2D00-000003000000}" name="Dex Score" dataDxfId="86"/>
    <tableColumn id="6" xr3:uid="{00000000-0010-0000-2D00-000006000000}" name="Initiative Modifier" dataDxfId="85">
      <calculatedColumnFormula>IFERROR(DexModifier(Creatures[[#This Row],[Dex Score]]),NA())</calculatedColumnFormula>
    </tableColumn>
  </tableColumns>
  <tableStyleInfo name="Table Style 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E000000}" name="Items" displayName="Items" ref="A1:F152" totalsRowShown="0" dataDxfId="147" tableBorderDxfId="146">
  <autoFilter ref="A1:F152" xr:uid="{00000000-0009-0000-0100-000006000000}"/>
  <tableColumns count="6">
    <tableColumn id="1" xr3:uid="{00000000-0010-0000-2E00-000001000000}" name="Name" dataDxfId="145"/>
    <tableColumn id="2" xr3:uid="{00000000-0010-0000-2E00-000002000000}" name="Value" dataDxfId="144"/>
    <tableColumn id="3" xr3:uid="{00000000-0010-0000-2E00-000003000000}" name="Damage" dataDxfId="143"/>
    <tableColumn id="4" xr3:uid="{00000000-0010-0000-2E00-000004000000}" name="Weight" dataDxfId="142"/>
    <tableColumn id="5" xr3:uid="{00000000-0010-0000-2E00-000005000000}" name="Properties" dataDxfId="141"/>
    <tableColumn id="6" xr3:uid="{00000000-0010-0000-2E00-000006000000}" name="Type" dataDxfId="140"/>
  </tableColumns>
  <tableStyleInfo name="Table Style 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30000000}" name="Spells" displayName="Spells" ref="A1:U3" totalsRowShown="0" headerRowDxfId="139" dataDxfId="138">
  <autoFilter ref="A1:U3" xr:uid="{00000000-0009-0000-0100-00000C000000}"/>
  <tableColumns count="21">
    <tableColumn id="1" xr3:uid="{00000000-0010-0000-3000-000001000000}" name="Name" dataDxfId="137"/>
    <tableColumn id="2" xr3:uid="{00000000-0010-0000-3000-000002000000}" name="Level" dataDxfId="136"/>
    <tableColumn id="3" xr3:uid="{00000000-0010-0000-3000-000003000000}" name="Description" dataDxfId="135"/>
    <tableColumn id="4" xr3:uid="{00000000-0010-0000-3000-000004000000}" name="At Higher Levels" dataDxfId="134"/>
    <tableColumn id="5" xr3:uid="{00000000-0010-0000-3000-000005000000}" name="Spell School" dataDxfId="133"/>
    <tableColumn id="6" xr3:uid="{00000000-0010-0000-3000-000006000000}" name="V" dataDxfId="132"/>
    <tableColumn id="7" xr3:uid="{00000000-0010-0000-3000-000007000000}" name="S" dataDxfId="131"/>
    <tableColumn id="8" xr3:uid="{00000000-0010-0000-3000-000008000000}" name="M" dataDxfId="130"/>
    <tableColumn id="9" xr3:uid="{00000000-0010-0000-3000-000009000000}" name="Casting Time" dataDxfId="129"/>
    <tableColumn id="10" xr3:uid="{00000000-0010-0000-3000-00000A000000}" name="Ritual" dataDxfId="128"/>
    <tableColumn id="11" xr3:uid="{00000000-0010-0000-3000-00000B000000}" name="Range" dataDxfId="127"/>
    <tableColumn id="12" xr3:uid="{00000000-0010-0000-3000-00000C000000}" name="Duration" dataDxfId="126"/>
    <tableColumn id="13" xr3:uid="{00000000-0010-0000-3000-00000D000000}" name="Base damage" dataDxfId="125"/>
    <tableColumn id="14" xr3:uid="{00000000-0010-0000-3000-00000E000000}" name="Damage Type" dataDxfId="124"/>
    <tableColumn id="15" xr3:uid="{00000000-0010-0000-3000-00000F000000}" name="Saving Throw" dataDxfId="123"/>
    <tableColumn id="16" xr3:uid="{00000000-0010-0000-3000-000010000000}" name="Concentration" dataDxfId="122"/>
    <tableColumn id="17" xr3:uid="{00000000-0010-0000-3000-000011000000}" name="M Cost (gp)" dataDxfId="121"/>
    <tableColumn id="18" xr3:uid="{00000000-0010-0000-3000-000012000000}" name="M Consumed" dataDxfId="120"/>
    <tableColumn id="19" xr3:uid="{00000000-0010-0000-3000-000013000000}" name="M Components" dataDxfId="119"/>
    <tableColumn id="20" xr3:uid="{00000000-0010-0000-3000-000014000000}" name="All classes with this spell" dataDxfId="118"/>
    <tableColumn id="21" xr3:uid="{00000000-0010-0000-3000-000015000000}" name="Source" dataDxfId="117"/>
  </tableColumns>
  <tableStyleInfo name="Table Style 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2F000000}" name="MagicItems" displayName="MagicItems" ref="A1:J4" totalsRowShown="0" headerRowDxfId="116" dataDxfId="115">
  <autoFilter ref="A1:J4" xr:uid="{00000000-0009-0000-0100-00000B000000}"/>
  <tableColumns count="10">
    <tableColumn id="1" xr3:uid="{00000000-0010-0000-2F00-000001000000}" name="Name" dataDxfId="114"/>
    <tableColumn id="2" xr3:uid="{00000000-0010-0000-2F00-000002000000}" name="Item Type" dataDxfId="113"/>
    <tableColumn id="3" xr3:uid="{00000000-0010-0000-2F00-000003000000}" name="Consumable" dataDxfId="112"/>
    <tableColumn id="4" xr3:uid="{00000000-0010-0000-2F00-000004000000}" name="Rarity" dataDxfId="111"/>
    <tableColumn id="5" xr3:uid="{00000000-0010-0000-2F00-000005000000}" name="Attunement?" dataDxfId="110"/>
    <tableColumn id="7" xr3:uid="{00000000-0010-0000-2F00-000007000000}" name="Rulebooks / Sourcebooks" dataDxfId="109"/>
    <tableColumn id="8" xr3:uid="{00000000-0010-0000-2F00-000008000000}" name="Notes" dataDxfId="108"/>
    <tableColumn id="9" xr3:uid="{00000000-0010-0000-2F00-000009000000}" name="cursed?" dataDxfId="107"/>
    <tableColumn id="10" xr3:uid="{00000000-0010-0000-2F00-00000A000000}" name="attunement requirement" dataDxfId="106"/>
    <tableColumn id="11" xr3:uid="{00000000-0010-0000-2F00-00000B000000}" name="Description" dataDxfId="105"/>
  </tableColumns>
  <tableStyleInfo name="Table Style 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31000000}" name="Vision" displayName="Vision" ref="A1:B6" totalsRowShown="0">
  <autoFilter ref="A1:B6" xr:uid="{00000000-0009-0000-0100-000003000000}"/>
  <tableColumns count="2">
    <tableColumn id="1" xr3:uid="{00000000-0010-0000-3100-000001000000}" name="Vision"/>
    <tableColumn id="2" xr3:uid="{00000000-0010-0000-3100-000002000000}" name="Effect" dataDxfId="104"/>
  </tableColumns>
  <tableStyleInfo name="Table Style 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32000000}" name="Environments" displayName="Environments" ref="D1:E7" totalsRowShown="0">
  <autoFilter ref="D1:E7" xr:uid="{00000000-0009-0000-0100-000005000000}"/>
  <tableColumns count="2">
    <tableColumn id="1" xr3:uid="{00000000-0010-0000-3200-000001000000}" name="Environment"/>
    <tableColumn id="2" xr3:uid="{00000000-0010-0000-3200-000002000000}" name="Effect" dataDxfId="103"/>
  </tableColumns>
  <tableStyleInfo name="Table Style 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33000000}" name="Hazards" displayName="Hazards" ref="G1:H8" totalsRowShown="0">
  <autoFilter ref="G1:H8" xr:uid="{00000000-0009-0000-0100-000007000000}"/>
  <tableColumns count="2">
    <tableColumn id="1" xr3:uid="{00000000-0010-0000-3300-000001000000}" name="Hazard"/>
    <tableColumn id="2" xr3:uid="{00000000-0010-0000-3300-000002000000}" name="Effect" dataDxfId="102"/>
  </tableColumns>
  <tableStyleInfo name="Table Style 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34000000}" name="RandomEncounters" displayName="RandomEncounters" ref="A1:C9" totalsRowShown="0" headerRowDxfId="101" dataDxfId="100">
  <autoFilter ref="A1:C9" xr:uid="{00000000-0009-0000-0100-000012000000}"/>
  <tableColumns count="3">
    <tableColumn id="1" xr3:uid="{00000000-0010-0000-3400-000001000000}" name="Type" dataDxfId="99"/>
    <tableColumn id="2" xr3:uid="{00000000-0010-0000-3400-000002000000}" name="Incident" dataDxfId="98"/>
    <tableColumn id="3" xr3:uid="{00000000-0010-0000-3400-000003000000}" name="Additional Options" dataDxfId="97"/>
  </tableColumns>
  <tableStyleInfo name="Table Styl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vmlDrawing" Target="../drawings/vmlDrawing1.vml"/><Relationship Id="rId7" Type="http://schemas.openxmlformats.org/officeDocument/2006/relationships/table" Target="../tables/table1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4.xml"/><Relationship Id="rId11" Type="http://schemas.openxmlformats.org/officeDocument/2006/relationships/comments" Target="../comments1.xml"/><Relationship Id="rId5" Type="http://schemas.openxmlformats.org/officeDocument/2006/relationships/table" Target="../tables/table13.xml"/><Relationship Id="rId10" Type="http://schemas.openxmlformats.org/officeDocument/2006/relationships/table" Target="../tables/table18.xml"/><Relationship Id="rId4" Type="http://schemas.openxmlformats.org/officeDocument/2006/relationships/ctrlProp" Target="../ctrlProps/ctrlProp1.xml"/><Relationship Id="rId9" Type="http://schemas.openxmlformats.org/officeDocument/2006/relationships/table" Target="../tables/table1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table" Target="../tables/table19.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2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21.xml"/><Relationship Id="rId4"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22.xml"/><Relationship Id="rId4"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table" Target="../tables/table26.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H74"/>
  <sheetViews>
    <sheetView workbookViewId="0">
      <selection activeCell="BI6" sqref="BI6"/>
    </sheetView>
  </sheetViews>
  <sheetFormatPr defaultColWidth="9.140625" defaultRowHeight="15" x14ac:dyDescent="0.25"/>
  <cols>
    <col min="1" max="1" width="8.85546875" customWidth="1"/>
    <col min="2" max="2" width="9.140625" customWidth="1"/>
    <col min="3" max="4" width="8.85546875"/>
    <col min="5" max="5" width="10.5703125" customWidth="1"/>
    <col min="6" max="6" width="8.85546875"/>
    <col min="7" max="7" width="9.28515625" customWidth="1"/>
    <col min="8" max="8" width="9.140625" customWidth="1"/>
    <col min="9" max="9" width="10.7109375" customWidth="1"/>
    <col min="10" max="10" width="12" customWidth="1"/>
    <col min="11" max="11" width="9.140625" customWidth="1"/>
    <col min="12" max="12" width="11.28515625" customWidth="1"/>
    <col min="13" max="13" width="9.140625" style="7" customWidth="1"/>
    <col min="14" max="14" width="16.7109375" style="7" customWidth="1"/>
    <col min="15" max="15" width="9.140625" style="7"/>
    <col min="16" max="16" width="10.5703125" style="7" customWidth="1"/>
    <col min="17" max="17" width="9.140625" style="7"/>
    <col min="18" max="18" width="9.28515625" style="7" customWidth="1"/>
    <col min="19" max="19" width="9.140625" style="7" customWidth="1"/>
    <col min="20" max="21" width="9.140625" style="7"/>
    <col min="22" max="22" width="9.140625" style="7" customWidth="1"/>
    <col min="23" max="47" width="9.140625" style="7"/>
    <col min="48" max="49" width="11" style="7" customWidth="1"/>
    <col min="50" max="50" width="9.140625" style="7"/>
    <col min="51" max="51" width="72.28515625" style="7" bestFit="1" customWidth="1"/>
    <col min="52" max="52" width="9.140625" style="7"/>
    <col min="53" max="53" width="13.5703125" style="7" bestFit="1" customWidth="1"/>
    <col min="54" max="54" width="8.85546875" style="7" bestFit="1" customWidth="1"/>
    <col min="55" max="55" width="9.140625" style="7"/>
    <col min="56" max="56" width="17.42578125" style="7" bestFit="1" customWidth="1"/>
    <col min="57" max="57" width="21.85546875" style="7" bestFit="1" customWidth="1"/>
    <col min="58" max="58" width="9.140625" style="7"/>
    <col min="59" max="59" width="11.140625" style="7" bestFit="1" customWidth="1"/>
    <col min="60" max="60" width="14.28515625" style="7" bestFit="1" customWidth="1"/>
    <col min="61" max="16384" width="9.140625" style="7"/>
  </cols>
  <sheetData>
    <row r="1" spans="1:60" x14ac:dyDescent="0.25">
      <c r="A1" t="s">
        <v>0</v>
      </c>
      <c r="C1" t="s">
        <v>1</v>
      </c>
      <c r="I1" t="s">
        <v>2</v>
      </c>
      <c r="L1" t="s">
        <v>3</v>
      </c>
      <c r="N1" s="100" t="s">
        <v>4</v>
      </c>
      <c r="O1" s="100"/>
      <c r="P1" s="100"/>
      <c r="Q1" s="100"/>
      <c r="R1" s="100"/>
      <c r="T1" s="100" t="s">
        <v>5</v>
      </c>
      <c r="U1" s="100"/>
      <c r="W1" s="100" t="s">
        <v>6</v>
      </c>
      <c r="X1" s="100"/>
      <c r="Y1" s="100"/>
      <c r="Z1" s="100"/>
      <c r="AA1" s="100"/>
      <c r="AB1" s="100"/>
      <c r="AC1" s="100"/>
      <c r="AD1" s="100"/>
      <c r="AE1" s="100"/>
      <c r="AF1" s="100"/>
      <c r="AG1" s="100"/>
      <c r="AH1" s="100"/>
      <c r="AI1" s="100"/>
      <c r="AJ1" s="100"/>
      <c r="AK1" s="100"/>
      <c r="AL1" s="100"/>
      <c r="AM1" s="100"/>
      <c r="AN1" s="100"/>
      <c r="AO1" s="100"/>
      <c r="AP1" s="100"/>
      <c r="AQ1" s="100"/>
      <c r="AR1" s="100"/>
      <c r="AS1" s="100"/>
      <c r="AV1" s="100" t="s">
        <v>7</v>
      </c>
      <c r="AW1" s="100"/>
      <c r="AY1" s="57" t="s">
        <v>8</v>
      </c>
      <c r="BA1" s="7" t="s">
        <v>9</v>
      </c>
      <c r="BD1" s="100" t="s">
        <v>834</v>
      </c>
      <c r="BE1" s="100"/>
      <c r="BG1" s="100" t="s">
        <v>11</v>
      </c>
      <c r="BH1" s="100"/>
    </row>
    <row r="2" spans="1:60" x14ac:dyDescent="0.25">
      <c r="A2" t="s">
        <v>12</v>
      </c>
      <c r="C2" t="s">
        <v>13</v>
      </c>
      <c r="D2" t="s">
        <v>14</v>
      </c>
      <c r="E2" t="s">
        <v>15</v>
      </c>
      <c r="F2" t="s">
        <v>16</v>
      </c>
      <c r="G2" t="s">
        <v>17</v>
      </c>
      <c r="I2" t="s">
        <v>18</v>
      </c>
      <c r="J2" t="s">
        <v>19</v>
      </c>
      <c r="L2" t="s">
        <v>20</v>
      </c>
      <c r="N2" t="s">
        <v>21</v>
      </c>
      <c r="O2" t="s">
        <v>14</v>
      </c>
      <c r="P2" t="s">
        <v>15</v>
      </c>
      <c r="Q2" t="s">
        <v>16</v>
      </c>
      <c r="R2" t="s">
        <v>17</v>
      </c>
      <c r="T2" t="s">
        <v>22</v>
      </c>
      <c r="U2" t="s">
        <v>23</v>
      </c>
      <c r="W2" t="s">
        <v>13</v>
      </c>
      <c r="X2" t="s">
        <v>24</v>
      </c>
      <c r="Y2" t="s">
        <v>25</v>
      </c>
      <c r="Z2" t="s">
        <v>26</v>
      </c>
      <c r="AA2" t="s">
        <v>27</v>
      </c>
      <c r="AB2" t="s">
        <v>28</v>
      </c>
      <c r="AC2" t="s">
        <v>29</v>
      </c>
      <c r="AD2" t="s">
        <v>30</v>
      </c>
      <c r="AE2" t="s">
        <v>31</v>
      </c>
      <c r="AF2" t="s">
        <v>32</v>
      </c>
      <c r="AG2" t="s">
        <v>33</v>
      </c>
      <c r="AH2" t="s">
        <v>34</v>
      </c>
      <c r="AI2" t="s">
        <v>35</v>
      </c>
      <c r="AJ2" t="s">
        <v>36</v>
      </c>
      <c r="AK2" t="s">
        <v>37</v>
      </c>
      <c r="AL2" t="s">
        <v>38</v>
      </c>
      <c r="AM2" t="s">
        <v>39</v>
      </c>
      <c r="AN2" t="s">
        <v>40</v>
      </c>
      <c r="AO2" t="s">
        <v>41</v>
      </c>
      <c r="AP2" t="s">
        <v>42</v>
      </c>
      <c r="AQ2" t="s">
        <v>43</v>
      </c>
      <c r="AR2" t="s">
        <v>44</v>
      </c>
      <c r="AS2" t="s">
        <v>45</v>
      </c>
      <c r="AT2" t="s">
        <v>46</v>
      </c>
      <c r="AV2" t="s">
        <v>47</v>
      </c>
      <c r="AW2" t="s">
        <v>13</v>
      </c>
      <c r="AY2" t="s">
        <v>8</v>
      </c>
      <c r="BA2" s="76" t="s">
        <v>48</v>
      </c>
      <c r="BB2" s="76" t="s">
        <v>49</v>
      </c>
      <c r="BD2" s="7" t="s">
        <v>50</v>
      </c>
      <c r="BE2" s="7" t="s">
        <v>10</v>
      </c>
      <c r="BG2" s="7" t="s">
        <v>51</v>
      </c>
      <c r="BH2" s="7" t="s">
        <v>52</v>
      </c>
    </row>
    <row r="3" spans="1:60" x14ac:dyDescent="0.25">
      <c r="C3">
        <v>1</v>
      </c>
      <c r="D3">
        <v>25</v>
      </c>
      <c r="E3">
        <v>50</v>
      </c>
      <c r="F3">
        <v>75</v>
      </c>
      <c r="G3">
        <v>100</v>
      </c>
      <c r="I3">
        <v>1</v>
      </c>
      <c r="J3">
        <v>1</v>
      </c>
      <c r="L3">
        <v>1</v>
      </c>
      <c r="N3" t="s">
        <v>53</v>
      </c>
      <c r="O3">
        <v>25</v>
      </c>
      <c r="P3">
        <v>50</v>
      </c>
      <c r="Q3">
        <v>75</v>
      </c>
      <c r="R3">
        <v>100</v>
      </c>
      <c r="T3">
        <v>0</v>
      </c>
      <c r="U3">
        <v>10</v>
      </c>
      <c r="W3">
        <v>1</v>
      </c>
      <c r="X3">
        <v>2</v>
      </c>
      <c r="Y3">
        <v>1</v>
      </c>
      <c r="Z3">
        <v>0.33333333333333331</v>
      </c>
      <c r="AA3">
        <v>0.2</v>
      </c>
      <c r="AB3"/>
      <c r="AC3"/>
      <c r="AD3"/>
      <c r="AE3"/>
      <c r="AF3"/>
      <c r="AG3"/>
      <c r="AH3"/>
      <c r="AI3"/>
      <c r="AJ3"/>
      <c r="AK3"/>
      <c r="AL3"/>
      <c r="AM3"/>
      <c r="AN3"/>
      <c r="AO3"/>
      <c r="AP3"/>
      <c r="AQ3"/>
      <c r="AR3"/>
      <c r="AS3"/>
      <c r="AT3"/>
      <c r="AV3" t="str">
        <f>'Player Manager'!$J$11</f>
        <v>Adel</v>
      </c>
      <c r="AW3">
        <f ca="1">'Player Manager'!$J$15</f>
        <v>5</v>
      </c>
      <c r="AY3" s="7" t="s">
        <v>54</v>
      </c>
      <c r="BA3" s="7" t="str">
        <f>'Player Manager'!$J$11</f>
        <v>Adel</v>
      </c>
      <c r="BB3" s="75" t="str">
        <f>'Player Manager'!$J$13</f>
        <v>✓</v>
      </c>
      <c r="BD3" s="82" t="s">
        <v>55</v>
      </c>
      <c r="BE3" s="82" t="s">
        <v>833</v>
      </c>
      <c r="BG3" s="7" t="s">
        <v>56</v>
      </c>
      <c r="BH3" s="7" t="s">
        <v>57</v>
      </c>
    </row>
    <row r="4" spans="1:60" x14ac:dyDescent="0.25">
      <c r="A4" t="s">
        <v>58</v>
      </c>
      <c r="C4">
        <v>2</v>
      </c>
      <c r="D4">
        <v>50</v>
      </c>
      <c r="E4">
        <v>100</v>
      </c>
      <c r="F4">
        <v>150</v>
      </c>
      <c r="G4">
        <v>200</v>
      </c>
      <c r="I4">
        <v>2</v>
      </c>
      <c r="J4">
        <v>1.5</v>
      </c>
      <c r="L4">
        <v>2</v>
      </c>
      <c r="N4" t="s">
        <v>59</v>
      </c>
      <c r="O4">
        <v>50</v>
      </c>
      <c r="P4">
        <v>100</v>
      </c>
      <c r="Q4">
        <v>150</v>
      </c>
      <c r="R4">
        <v>200</v>
      </c>
      <c r="T4" s="9" t="s">
        <v>24</v>
      </c>
      <c r="U4">
        <v>25</v>
      </c>
      <c r="W4">
        <v>2</v>
      </c>
      <c r="X4">
        <v>3</v>
      </c>
      <c r="Y4">
        <v>2</v>
      </c>
      <c r="Z4">
        <v>1</v>
      </c>
      <c r="AA4">
        <v>0.33333333333333331</v>
      </c>
      <c r="AB4">
        <v>0.16666666666666666</v>
      </c>
      <c r="AC4"/>
      <c r="AD4"/>
      <c r="AE4"/>
      <c r="AF4"/>
      <c r="AG4"/>
      <c r="AH4"/>
      <c r="AI4"/>
      <c r="AJ4"/>
      <c r="AK4"/>
      <c r="AL4"/>
      <c r="AM4"/>
      <c r="AN4"/>
      <c r="AO4"/>
      <c r="AP4"/>
      <c r="AQ4"/>
      <c r="AR4"/>
      <c r="AS4"/>
      <c r="AT4"/>
      <c r="AV4" t="str">
        <f>'Player Manager'!$S$11</f>
        <v>Broug</v>
      </c>
      <c r="AW4">
        <f ca="1">'Player Manager'!$S$15</f>
        <v>1</v>
      </c>
      <c r="AY4" s="7" t="s">
        <v>60</v>
      </c>
      <c r="BA4" s="7" t="str">
        <f>'Player Manager'!$S$11</f>
        <v>Broug</v>
      </c>
      <c r="BB4" s="75" t="str">
        <f>'Player Manager'!$S$13</f>
        <v>✓</v>
      </c>
      <c r="BD4" s="82" t="s">
        <v>61</v>
      </c>
      <c r="BE4" s="82" t="s">
        <v>833</v>
      </c>
      <c r="BG4" s="7" t="s">
        <v>62</v>
      </c>
      <c r="BH4" s="7" t="s">
        <v>63</v>
      </c>
    </row>
    <row r="5" spans="1:60" x14ac:dyDescent="0.25">
      <c r="C5">
        <v>3</v>
      </c>
      <c r="D5">
        <v>75</v>
      </c>
      <c r="E5">
        <v>150</v>
      </c>
      <c r="F5">
        <v>225</v>
      </c>
      <c r="G5">
        <v>400</v>
      </c>
      <c r="I5">
        <v>3</v>
      </c>
      <c r="J5">
        <v>2</v>
      </c>
      <c r="L5">
        <v>3</v>
      </c>
      <c r="N5" t="s">
        <v>64</v>
      </c>
      <c r="O5">
        <v>75</v>
      </c>
      <c r="P5">
        <v>150</v>
      </c>
      <c r="Q5">
        <v>225</v>
      </c>
      <c r="R5">
        <v>400</v>
      </c>
      <c r="T5" s="9" t="s">
        <v>25</v>
      </c>
      <c r="U5">
        <v>50</v>
      </c>
      <c r="W5">
        <v>3</v>
      </c>
      <c r="X5">
        <v>5</v>
      </c>
      <c r="Y5">
        <v>2</v>
      </c>
      <c r="Z5">
        <v>1</v>
      </c>
      <c r="AA5">
        <v>0.5</v>
      </c>
      <c r="AB5">
        <v>0.25</v>
      </c>
      <c r="AC5">
        <v>0.16666666666666666</v>
      </c>
      <c r="AD5"/>
      <c r="AE5"/>
      <c r="AF5"/>
      <c r="AG5"/>
      <c r="AH5"/>
      <c r="AI5"/>
      <c r="AJ5"/>
      <c r="AK5"/>
      <c r="AL5"/>
      <c r="AM5"/>
      <c r="AN5"/>
      <c r="AO5"/>
      <c r="AP5"/>
      <c r="AQ5"/>
      <c r="AR5"/>
      <c r="AS5"/>
      <c r="AT5"/>
      <c r="AV5" t="str">
        <f>'Player Manager'!$AB$11</f>
        <v>Capt.</v>
      </c>
      <c r="AW5">
        <f ca="1">'Player Manager'!$AB$15</f>
        <v>3</v>
      </c>
      <c r="AY5" s="7" t="s">
        <v>65</v>
      </c>
      <c r="BA5" s="7" t="str">
        <f>'Player Manager'!$AB$11</f>
        <v>Capt.</v>
      </c>
      <c r="BB5" s="75" t="str">
        <f>'Player Manager'!$AB$13</f>
        <v>✓</v>
      </c>
      <c r="BD5" s="82" t="s">
        <v>66</v>
      </c>
      <c r="BE5" s="82" t="s">
        <v>833</v>
      </c>
      <c r="BG5" s="7" t="s">
        <v>67</v>
      </c>
      <c r="BH5" s="7" t="s">
        <v>68</v>
      </c>
    </row>
    <row r="6" spans="1:60" x14ac:dyDescent="0.25">
      <c r="C6">
        <v>4</v>
      </c>
      <c r="D6">
        <v>125</v>
      </c>
      <c r="E6">
        <v>250</v>
      </c>
      <c r="F6">
        <v>375</v>
      </c>
      <c r="G6">
        <v>500</v>
      </c>
      <c r="I6">
        <v>7</v>
      </c>
      <c r="J6">
        <v>2.5</v>
      </c>
      <c r="L6">
        <v>4</v>
      </c>
      <c r="N6" t="s">
        <v>69</v>
      </c>
      <c r="O6">
        <v>125</v>
      </c>
      <c r="P6">
        <v>250</v>
      </c>
      <c r="Q6">
        <v>375</v>
      </c>
      <c r="R6">
        <v>500</v>
      </c>
      <c r="T6" s="9" t="s">
        <v>26</v>
      </c>
      <c r="U6">
        <v>100</v>
      </c>
      <c r="W6">
        <v>4</v>
      </c>
      <c r="X6">
        <v>8</v>
      </c>
      <c r="Y6">
        <v>4</v>
      </c>
      <c r="Z6">
        <v>2</v>
      </c>
      <c r="AA6">
        <v>1</v>
      </c>
      <c r="AB6">
        <v>0.5</v>
      </c>
      <c r="AC6">
        <v>0.25</v>
      </c>
      <c r="AD6">
        <v>0.16666666666666666</v>
      </c>
      <c r="AE6"/>
      <c r="AF6"/>
      <c r="AG6"/>
      <c r="AH6"/>
      <c r="AI6"/>
      <c r="AJ6"/>
      <c r="AK6"/>
      <c r="AL6"/>
      <c r="AM6"/>
      <c r="AN6"/>
      <c r="AO6"/>
      <c r="AP6"/>
      <c r="AQ6"/>
      <c r="AR6"/>
      <c r="AS6"/>
      <c r="AT6"/>
      <c r="AV6" t="str">
        <f>'Player Manager'!$AK$11</f>
        <v>Dagga</v>
      </c>
      <c r="AW6">
        <f ca="1">'Player Manager'!$AK$15</f>
        <v>11</v>
      </c>
      <c r="AY6" s="7" t="s">
        <v>70</v>
      </c>
      <c r="BA6" s="7" t="str">
        <f>'Player Manager'!$AK$11</f>
        <v>Dagga</v>
      </c>
      <c r="BB6" s="75" t="str">
        <f>'Player Manager'!$AK$13</f>
        <v>✓</v>
      </c>
      <c r="BD6" s="82" t="s">
        <v>71</v>
      </c>
      <c r="BE6" s="82" t="s">
        <v>833</v>
      </c>
      <c r="BG6" s="7" t="s">
        <v>72</v>
      </c>
      <c r="BH6" s="7" t="s">
        <v>73</v>
      </c>
    </row>
    <row r="7" spans="1:60" x14ac:dyDescent="0.25">
      <c r="C7">
        <v>5</v>
      </c>
      <c r="D7">
        <v>250</v>
      </c>
      <c r="E7">
        <v>500</v>
      </c>
      <c r="F7">
        <v>750</v>
      </c>
      <c r="G7">
        <v>1100</v>
      </c>
      <c r="I7">
        <v>11</v>
      </c>
      <c r="J7">
        <v>3</v>
      </c>
      <c r="L7">
        <v>5</v>
      </c>
      <c r="N7" t="s">
        <v>74</v>
      </c>
      <c r="O7">
        <v>250</v>
      </c>
      <c r="P7">
        <v>500</v>
      </c>
      <c r="Q7">
        <v>750</v>
      </c>
      <c r="R7">
        <v>1100</v>
      </c>
      <c r="T7">
        <v>1</v>
      </c>
      <c r="U7">
        <v>200</v>
      </c>
      <c r="W7">
        <v>5</v>
      </c>
      <c r="X7">
        <v>12</v>
      </c>
      <c r="Y7">
        <v>8</v>
      </c>
      <c r="Z7">
        <v>4</v>
      </c>
      <c r="AA7">
        <v>2</v>
      </c>
      <c r="AB7">
        <v>1</v>
      </c>
      <c r="AC7">
        <v>0.5</v>
      </c>
      <c r="AD7">
        <v>0.33333333333333331</v>
      </c>
      <c r="AE7">
        <v>0.2</v>
      </c>
      <c r="AF7">
        <v>0.16666666666666666</v>
      </c>
      <c r="AG7"/>
      <c r="AH7"/>
      <c r="AI7"/>
      <c r="AJ7"/>
      <c r="AK7"/>
      <c r="AL7"/>
      <c r="AM7"/>
      <c r="AN7"/>
      <c r="AO7"/>
      <c r="AP7"/>
      <c r="AQ7"/>
      <c r="AR7"/>
      <c r="AS7"/>
      <c r="AT7"/>
      <c r="AV7" t="str">
        <f>'Player Manager'!$AT$11</f>
        <v>Ed</v>
      </c>
      <c r="AW7">
        <f ca="1">'Player Manager'!$AT$15</f>
        <v>13</v>
      </c>
      <c r="AY7" s="7" t="s">
        <v>75</v>
      </c>
      <c r="BA7" s="7" t="str">
        <f>'Player Manager'!$AT$11</f>
        <v>Ed</v>
      </c>
      <c r="BB7" s="75" t="str">
        <f>'Player Manager'!$AT$13</f>
        <v>✓</v>
      </c>
      <c r="BD7" s="82" t="s">
        <v>76</v>
      </c>
      <c r="BE7" s="82" t="s">
        <v>833</v>
      </c>
      <c r="BG7" s="7" t="s">
        <v>77</v>
      </c>
      <c r="BH7" s="7" t="s">
        <v>78</v>
      </c>
    </row>
    <row r="8" spans="1:60" x14ac:dyDescent="0.25">
      <c r="C8">
        <v>6</v>
      </c>
      <c r="D8">
        <v>300</v>
      </c>
      <c r="E8">
        <v>600</v>
      </c>
      <c r="F8">
        <v>900</v>
      </c>
      <c r="G8">
        <v>1400</v>
      </c>
      <c r="I8">
        <v>15</v>
      </c>
      <c r="J8">
        <v>4</v>
      </c>
      <c r="L8">
        <v>6</v>
      </c>
      <c r="N8" t="s">
        <v>79</v>
      </c>
      <c r="O8">
        <v>300</v>
      </c>
      <c r="P8">
        <v>600</v>
      </c>
      <c r="Q8">
        <v>900</v>
      </c>
      <c r="R8">
        <v>1400</v>
      </c>
      <c r="T8">
        <v>2</v>
      </c>
      <c r="U8">
        <v>450</v>
      </c>
      <c r="W8">
        <v>6</v>
      </c>
      <c r="X8">
        <v>12</v>
      </c>
      <c r="Y8">
        <v>9</v>
      </c>
      <c r="Z8">
        <v>5</v>
      </c>
      <c r="AA8">
        <v>2</v>
      </c>
      <c r="AB8">
        <v>1</v>
      </c>
      <c r="AC8">
        <v>0.5</v>
      </c>
      <c r="AD8">
        <v>0.5</v>
      </c>
      <c r="AE8">
        <v>0.25</v>
      </c>
      <c r="AF8">
        <v>0.2</v>
      </c>
      <c r="AG8">
        <v>0.16666666666666666</v>
      </c>
      <c r="AH8"/>
      <c r="AI8"/>
      <c r="AJ8"/>
      <c r="AK8"/>
      <c r="AL8"/>
      <c r="AM8"/>
      <c r="AN8"/>
      <c r="AO8"/>
      <c r="AP8"/>
      <c r="AQ8"/>
      <c r="AR8"/>
      <c r="AS8"/>
      <c r="AT8"/>
      <c r="AV8" t="str">
        <f>'Player Manager'!$BC$11</f>
        <v>Fring</v>
      </c>
      <c r="AW8">
        <f ca="1">'Player Manager'!$BC$15</f>
        <v>2</v>
      </c>
      <c r="AY8" s="7" t="s">
        <v>80</v>
      </c>
      <c r="BA8" s="7" t="str">
        <f>'Player Manager'!$BC$11</f>
        <v>Fring</v>
      </c>
      <c r="BB8" s="75">
        <f>'Player Manager'!$BC$13</f>
        <v>0</v>
      </c>
      <c r="BD8" s="82" t="s">
        <v>81</v>
      </c>
      <c r="BE8" s="82" t="s">
        <v>833</v>
      </c>
      <c r="BG8" s="7" t="s">
        <v>82</v>
      </c>
      <c r="BH8" s="7" t="s">
        <v>83</v>
      </c>
    </row>
    <row r="9" spans="1:60" x14ac:dyDescent="0.25">
      <c r="C9">
        <v>7</v>
      </c>
      <c r="D9">
        <v>350</v>
      </c>
      <c r="E9">
        <v>750</v>
      </c>
      <c r="F9">
        <v>1100</v>
      </c>
      <c r="G9">
        <v>1700</v>
      </c>
      <c r="L9">
        <v>7</v>
      </c>
      <c r="N9" t="s">
        <v>84</v>
      </c>
      <c r="O9">
        <v>350</v>
      </c>
      <c r="P9">
        <v>750</v>
      </c>
      <c r="Q9">
        <v>1100</v>
      </c>
      <c r="R9">
        <v>1700</v>
      </c>
      <c r="T9">
        <v>3</v>
      </c>
      <c r="U9">
        <v>700</v>
      </c>
      <c r="W9">
        <v>7</v>
      </c>
      <c r="X9">
        <v>12</v>
      </c>
      <c r="Y9">
        <v>12</v>
      </c>
      <c r="Z9">
        <v>6</v>
      </c>
      <c r="AA9">
        <v>3</v>
      </c>
      <c r="AB9">
        <v>1</v>
      </c>
      <c r="AC9">
        <v>1</v>
      </c>
      <c r="AD9">
        <v>0.5</v>
      </c>
      <c r="AE9">
        <v>0.33333333333333331</v>
      </c>
      <c r="AF9">
        <v>0.25</v>
      </c>
      <c r="AG9">
        <v>0.2</v>
      </c>
      <c r="AH9"/>
      <c r="AI9"/>
      <c r="AJ9"/>
      <c r="AK9"/>
      <c r="AL9"/>
      <c r="AM9"/>
      <c r="AN9"/>
      <c r="AO9"/>
      <c r="AP9"/>
      <c r="AQ9"/>
      <c r="AR9"/>
      <c r="AS9"/>
      <c r="AT9"/>
      <c r="AV9" t="str">
        <f>'Player Manager'!$BL$11</f>
        <v>Gaffa</v>
      </c>
      <c r="AW9">
        <f ca="1">'Player Manager'!$BL$15</f>
        <v>5</v>
      </c>
      <c r="AY9" s="7" t="s">
        <v>85</v>
      </c>
      <c r="BA9" s="7" t="str">
        <f>'Player Manager'!$BL$11</f>
        <v>Gaffa</v>
      </c>
      <c r="BB9" s="75" t="str">
        <f>'Player Manager'!$BL$13</f>
        <v>✓</v>
      </c>
      <c r="BD9" s="82" t="s">
        <v>86</v>
      </c>
      <c r="BE9" s="82" t="s">
        <v>833</v>
      </c>
    </row>
    <row r="10" spans="1:60" x14ac:dyDescent="0.25">
      <c r="C10">
        <v>8</v>
      </c>
      <c r="D10">
        <v>450</v>
      </c>
      <c r="E10">
        <v>900</v>
      </c>
      <c r="F10">
        <v>1400</v>
      </c>
      <c r="G10">
        <v>2100</v>
      </c>
      <c r="L10">
        <v>8</v>
      </c>
      <c r="N10" t="s">
        <v>87</v>
      </c>
      <c r="O10">
        <v>450</v>
      </c>
      <c r="P10">
        <v>900</v>
      </c>
      <c r="Q10">
        <v>1400</v>
      </c>
      <c r="R10">
        <v>2100</v>
      </c>
      <c r="T10">
        <v>4</v>
      </c>
      <c r="U10">
        <v>1100</v>
      </c>
      <c r="W10">
        <v>8</v>
      </c>
      <c r="X10">
        <v>12</v>
      </c>
      <c r="Y10">
        <v>12</v>
      </c>
      <c r="Z10">
        <v>7</v>
      </c>
      <c r="AA10">
        <v>4</v>
      </c>
      <c r="AB10">
        <v>2</v>
      </c>
      <c r="AC10">
        <v>1</v>
      </c>
      <c r="AD10">
        <v>0.5</v>
      </c>
      <c r="AE10">
        <v>0.33333333333333331</v>
      </c>
      <c r="AF10">
        <v>0.33333333333333331</v>
      </c>
      <c r="AG10">
        <v>0.25</v>
      </c>
      <c r="AH10">
        <v>0.16666666666666666</v>
      </c>
      <c r="AI10"/>
      <c r="AJ10"/>
      <c r="AK10"/>
      <c r="AL10"/>
      <c r="AM10"/>
      <c r="AN10"/>
      <c r="AO10"/>
      <c r="AP10"/>
      <c r="AQ10"/>
      <c r="AR10"/>
      <c r="AS10"/>
      <c r="AT10"/>
      <c r="AV10" t="str">
        <f>'Player Manager'!$BU$11</f>
        <v>Hoga</v>
      </c>
      <c r="AW10">
        <f ca="1">'Player Manager'!$BU$15</f>
        <v>4</v>
      </c>
      <c r="AY10" s="7" t="s">
        <v>88</v>
      </c>
      <c r="BA10" s="7" t="str">
        <f>'Player Manager'!$BU$11</f>
        <v>Hoga</v>
      </c>
      <c r="BB10" s="75">
        <f>'Player Manager'!$BU$13</f>
        <v>0</v>
      </c>
      <c r="BD10" s="82" t="s">
        <v>89</v>
      </c>
      <c r="BE10" s="82" t="s">
        <v>833</v>
      </c>
    </row>
    <row r="11" spans="1:60" x14ac:dyDescent="0.25">
      <c r="C11">
        <v>9</v>
      </c>
      <c r="D11">
        <v>550</v>
      </c>
      <c r="E11">
        <v>1100</v>
      </c>
      <c r="F11">
        <v>1600</v>
      </c>
      <c r="G11">
        <v>2400</v>
      </c>
      <c r="L11">
        <v>9</v>
      </c>
      <c r="N11" t="s">
        <v>90</v>
      </c>
      <c r="O11">
        <v>550</v>
      </c>
      <c r="P11">
        <v>1100</v>
      </c>
      <c r="Q11">
        <v>1600</v>
      </c>
      <c r="R11">
        <v>2400</v>
      </c>
      <c r="T11">
        <v>5</v>
      </c>
      <c r="U11">
        <v>1800</v>
      </c>
      <c r="W11">
        <v>9</v>
      </c>
      <c r="X11">
        <v>12</v>
      </c>
      <c r="Y11">
        <v>12</v>
      </c>
      <c r="Z11">
        <v>8</v>
      </c>
      <c r="AA11">
        <v>4</v>
      </c>
      <c r="AB11">
        <v>2</v>
      </c>
      <c r="AC11">
        <v>1</v>
      </c>
      <c r="AD11">
        <v>1</v>
      </c>
      <c r="AE11">
        <v>0.5</v>
      </c>
      <c r="AF11">
        <v>0.33333333333333331</v>
      </c>
      <c r="AG11">
        <v>0.25</v>
      </c>
      <c r="AH11">
        <v>0.2</v>
      </c>
      <c r="AI11">
        <v>0.16666666666666666</v>
      </c>
      <c r="AJ11"/>
      <c r="AK11"/>
      <c r="AL11"/>
      <c r="AM11"/>
      <c r="AN11"/>
      <c r="AO11"/>
      <c r="AP11"/>
      <c r="AQ11"/>
      <c r="AR11"/>
      <c r="AS11"/>
      <c r="AT11"/>
      <c r="AV11" t="str">
        <f>'Player Manager'!$CD$11</f>
        <v>Irridin</v>
      </c>
      <c r="AW11">
        <f ca="1">'Player Manager'!$CD$15</f>
        <v>10</v>
      </c>
      <c r="AY11" s="7" t="s">
        <v>91</v>
      </c>
      <c r="BA11" s="7" t="str">
        <f>'Player Manager'!$CD$11</f>
        <v>Irridin</v>
      </c>
      <c r="BB11" s="75" t="str">
        <f>'Player Manager'!$CD$13</f>
        <v>✓</v>
      </c>
      <c r="BD11" s="82" t="s">
        <v>92</v>
      </c>
      <c r="BE11" s="82" t="s">
        <v>833</v>
      </c>
    </row>
    <row r="12" spans="1:60" x14ac:dyDescent="0.25">
      <c r="C12">
        <v>10</v>
      </c>
      <c r="D12">
        <v>600</v>
      </c>
      <c r="E12">
        <v>1200</v>
      </c>
      <c r="F12">
        <v>1900</v>
      </c>
      <c r="G12">
        <v>2800</v>
      </c>
      <c r="L12">
        <v>10</v>
      </c>
      <c r="N12" t="s">
        <v>93</v>
      </c>
      <c r="O12">
        <v>600</v>
      </c>
      <c r="P12">
        <v>1200</v>
      </c>
      <c r="Q12">
        <v>1900</v>
      </c>
      <c r="R12">
        <v>2800</v>
      </c>
      <c r="T12">
        <v>6</v>
      </c>
      <c r="U12">
        <v>2300</v>
      </c>
      <c r="W12">
        <v>10</v>
      </c>
      <c r="X12">
        <v>12</v>
      </c>
      <c r="Y12">
        <v>12</v>
      </c>
      <c r="Z12">
        <v>10</v>
      </c>
      <c r="AA12">
        <v>5</v>
      </c>
      <c r="AB12">
        <v>2</v>
      </c>
      <c r="AC12">
        <v>1</v>
      </c>
      <c r="AD12">
        <v>1</v>
      </c>
      <c r="AE12">
        <v>0.5</v>
      </c>
      <c r="AF12">
        <v>0.5</v>
      </c>
      <c r="AG12">
        <v>0.33333333333333331</v>
      </c>
      <c r="AH12">
        <v>0.25</v>
      </c>
      <c r="AI12">
        <v>0.2</v>
      </c>
      <c r="AJ12">
        <v>0.16666666666666666</v>
      </c>
      <c r="AK12"/>
      <c r="AL12"/>
      <c r="AM12"/>
      <c r="AN12"/>
      <c r="AO12"/>
      <c r="AP12"/>
      <c r="AQ12"/>
      <c r="AR12"/>
      <c r="AS12"/>
      <c r="AT12"/>
      <c r="AV12" t="str">
        <f>'Player Manager'!$CM$11</f>
        <v>Jocasta</v>
      </c>
      <c r="AW12">
        <f ca="1">'Player Manager'!$CM$15</f>
        <v>5</v>
      </c>
      <c r="AY12" s="7" t="s">
        <v>94</v>
      </c>
      <c r="BA12" s="7" t="str">
        <f>'Player Manager'!$CM$11</f>
        <v>Jocasta</v>
      </c>
      <c r="BB12" s="75" t="str">
        <f>'Player Manager'!$CM$13</f>
        <v>✓</v>
      </c>
      <c r="BD12" s="82" t="s">
        <v>95</v>
      </c>
      <c r="BE12" s="82" t="s">
        <v>833</v>
      </c>
    </row>
    <row r="13" spans="1:60" x14ac:dyDescent="0.25">
      <c r="C13">
        <v>11</v>
      </c>
      <c r="D13">
        <v>800</v>
      </c>
      <c r="E13">
        <v>1600</v>
      </c>
      <c r="F13">
        <v>2400</v>
      </c>
      <c r="G13">
        <v>3600</v>
      </c>
      <c r="L13">
        <v>11</v>
      </c>
      <c r="N13" t="s">
        <v>96</v>
      </c>
      <c r="O13">
        <v>800</v>
      </c>
      <c r="P13">
        <v>1600</v>
      </c>
      <c r="Q13">
        <v>2400</v>
      </c>
      <c r="R13">
        <v>3600</v>
      </c>
      <c r="T13">
        <v>7</v>
      </c>
      <c r="U13">
        <v>2900</v>
      </c>
      <c r="W13">
        <v>11</v>
      </c>
      <c r="X13">
        <v>12</v>
      </c>
      <c r="Y13">
        <v>12</v>
      </c>
      <c r="Z13">
        <v>12</v>
      </c>
      <c r="AA13">
        <v>6</v>
      </c>
      <c r="AB13">
        <v>3</v>
      </c>
      <c r="AC13">
        <v>2</v>
      </c>
      <c r="AD13">
        <v>1</v>
      </c>
      <c r="AE13">
        <v>0.5</v>
      </c>
      <c r="AF13">
        <v>0.5</v>
      </c>
      <c r="AG13">
        <v>0.5</v>
      </c>
      <c r="AH13">
        <v>0.33333333333333331</v>
      </c>
      <c r="AI13">
        <v>0.25</v>
      </c>
      <c r="AJ13">
        <v>0.2</v>
      </c>
      <c r="AK13">
        <v>0.16666666666666666</v>
      </c>
      <c r="AL13"/>
      <c r="AM13"/>
      <c r="AN13"/>
      <c r="AO13"/>
      <c r="AP13"/>
      <c r="AQ13"/>
      <c r="AR13"/>
      <c r="AS13"/>
      <c r="AT13"/>
      <c r="AY13" s="7" t="s">
        <v>97</v>
      </c>
    </row>
    <row r="14" spans="1:60" x14ac:dyDescent="0.25">
      <c r="C14">
        <v>12</v>
      </c>
      <c r="D14">
        <v>1000</v>
      </c>
      <c r="E14">
        <v>2000</v>
      </c>
      <c r="F14">
        <v>3000</v>
      </c>
      <c r="G14">
        <v>4500</v>
      </c>
      <c r="L14">
        <v>12</v>
      </c>
      <c r="N14" t="s">
        <v>98</v>
      </c>
      <c r="O14">
        <v>1000</v>
      </c>
      <c r="P14">
        <v>2000</v>
      </c>
      <c r="Q14">
        <v>3000</v>
      </c>
      <c r="R14">
        <v>4500</v>
      </c>
      <c r="T14">
        <v>8</v>
      </c>
      <c r="U14">
        <v>3900</v>
      </c>
      <c r="W14">
        <v>12</v>
      </c>
      <c r="X14">
        <v>12</v>
      </c>
      <c r="Y14">
        <v>12</v>
      </c>
      <c r="Z14">
        <v>12</v>
      </c>
      <c r="AA14">
        <v>8</v>
      </c>
      <c r="AB14">
        <v>3</v>
      </c>
      <c r="AC14">
        <v>2</v>
      </c>
      <c r="AD14">
        <v>1</v>
      </c>
      <c r="AE14">
        <v>1</v>
      </c>
      <c r="AF14">
        <v>0.5</v>
      </c>
      <c r="AG14">
        <v>0.5</v>
      </c>
      <c r="AH14">
        <v>0.33333333333333331</v>
      </c>
      <c r="AI14">
        <v>0.33333333333333331</v>
      </c>
      <c r="AJ14">
        <v>0.25</v>
      </c>
      <c r="AK14">
        <v>0.2</v>
      </c>
      <c r="AL14">
        <v>0.16666666666666666</v>
      </c>
      <c r="AM14"/>
      <c r="AN14"/>
      <c r="AO14"/>
      <c r="AP14"/>
      <c r="AQ14"/>
      <c r="AR14"/>
      <c r="AS14"/>
      <c r="AT14"/>
      <c r="AY14" s="7" t="s">
        <v>99</v>
      </c>
    </row>
    <row r="15" spans="1:60" x14ac:dyDescent="0.25">
      <c r="C15">
        <v>13</v>
      </c>
      <c r="D15">
        <v>1100</v>
      </c>
      <c r="E15">
        <v>2200</v>
      </c>
      <c r="F15">
        <v>3400</v>
      </c>
      <c r="G15">
        <v>5100</v>
      </c>
      <c r="L15">
        <v>13</v>
      </c>
      <c r="N15" t="s">
        <v>100</v>
      </c>
      <c r="O15">
        <v>1100</v>
      </c>
      <c r="P15">
        <v>2200</v>
      </c>
      <c r="Q15">
        <v>3400</v>
      </c>
      <c r="R15">
        <v>5100</v>
      </c>
      <c r="T15">
        <v>9</v>
      </c>
      <c r="U15">
        <v>5000</v>
      </c>
      <c r="W15">
        <v>13</v>
      </c>
      <c r="X15">
        <v>12</v>
      </c>
      <c r="Y15">
        <v>12</v>
      </c>
      <c r="Z15">
        <v>12</v>
      </c>
      <c r="AA15">
        <v>9</v>
      </c>
      <c r="AB15">
        <v>4</v>
      </c>
      <c r="AC15">
        <v>2</v>
      </c>
      <c r="AD15">
        <v>2</v>
      </c>
      <c r="AE15">
        <v>1</v>
      </c>
      <c r="AF15">
        <v>1</v>
      </c>
      <c r="AG15">
        <v>0.5</v>
      </c>
      <c r="AH15">
        <v>0.5</v>
      </c>
      <c r="AI15">
        <v>0.33333333333333331</v>
      </c>
      <c r="AJ15">
        <v>0.33333333333333331</v>
      </c>
      <c r="AK15">
        <v>0.25</v>
      </c>
      <c r="AL15">
        <v>0.2</v>
      </c>
      <c r="AM15">
        <v>0.16666666666666666</v>
      </c>
      <c r="AN15"/>
      <c r="AO15"/>
      <c r="AP15"/>
      <c r="AQ15"/>
      <c r="AR15"/>
      <c r="AS15"/>
      <c r="AT15"/>
      <c r="AY15" s="7" t="s">
        <v>101</v>
      </c>
    </row>
    <row r="16" spans="1:60" x14ac:dyDescent="0.25">
      <c r="C16">
        <v>14</v>
      </c>
      <c r="D16">
        <v>1250</v>
      </c>
      <c r="E16">
        <v>2500</v>
      </c>
      <c r="F16">
        <v>3800</v>
      </c>
      <c r="G16">
        <v>5700</v>
      </c>
      <c r="L16">
        <v>14</v>
      </c>
      <c r="N16" t="s">
        <v>102</v>
      </c>
      <c r="O16">
        <v>1250</v>
      </c>
      <c r="P16">
        <v>2500</v>
      </c>
      <c r="Q16">
        <v>3800</v>
      </c>
      <c r="R16">
        <v>5700</v>
      </c>
      <c r="T16">
        <v>10</v>
      </c>
      <c r="U16">
        <v>5900</v>
      </c>
      <c r="W16">
        <v>14</v>
      </c>
      <c r="X16">
        <v>12</v>
      </c>
      <c r="Y16">
        <v>12</v>
      </c>
      <c r="Z16">
        <v>12</v>
      </c>
      <c r="AA16">
        <v>10</v>
      </c>
      <c r="AB16">
        <v>4</v>
      </c>
      <c r="AC16">
        <v>3</v>
      </c>
      <c r="AD16">
        <v>2</v>
      </c>
      <c r="AE16">
        <v>1</v>
      </c>
      <c r="AF16">
        <v>1</v>
      </c>
      <c r="AG16">
        <v>0.5</v>
      </c>
      <c r="AH16">
        <v>0.5</v>
      </c>
      <c r="AI16">
        <v>0.33333333333333331</v>
      </c>
      <c r="AJ16">
        <v>0.33333333333333331</v>
      </c>
      <c r="AK16">
        <v>0.25</v>
      </c>
      <c r="AL16">
        <v>0.25</v>
      </c>
      <c r="AM16">
        <v>0.2</v>
      </c>
      <c r="AN16">
        <v>0.16666666666666666</v>
      </c>
      <c r="AO16"/>
      <c r="AP16"/>
      <c r="AQ16"/>
      <c r="AR16"/>
      <c r="AS16"/>
      <c r="AT16"/>
      <c r="AY16" s="7" t="s">
        <v>103</v>
      </c>
    </row>
    <row r="17" spans="3:51" x14ac:dyDescent="0.25">
      <c r="C17">
        <v>15</v>
      </c>
      <c r="D17">
        <v>1400</v>
      </c>
      <c r="E17">
        <v>2800</v>
      </c>
      <c r="F17">
        <v>4300</v>
      </c>
      <c r="G17">
        <v>6400</v>
      </c>
      <c r="L17">
        <v>15</v>
      </c>
      <c r="N17" t="s">
        <v>104</v>
      </c>
      <c r="O17">
        <v>1400</v>
      </c>
      <c r="P17">
        <v>2800</v>
      </c>
      <c r="Q17">
        <v>4300</v>
      </c>
      <c r="R17">
        <v>6400</v>
      </c>
      <c r="T17">
        <v>11</v>
      </c>
      <c r="U17">
        <v>7200</v>
      </c>
      <c r="W17">
        <v>15</v>
      </c>
      <c r="X17">
        <v>12</v>
      </c>
      <c r="Y17">
        <v>12</v>
      </c>
      <c r="Z17">
        <v>12</v>
      </c>
      <c r="AA17">
        <v>12</v>
      </c>
      <c r="AB17">
        <v>5</v>
      </c>
      <c r="AC17">
        <v>3</v>
      </c>
      <c r="AD17">
        <v>2</v>
      </c>
      <c r="AE17">
        <v>1</v>
      </c>
      <c r="AF17">
        <v>1</v>
      </c>
      <c r="AG17">
        <v>1</v>
      </c>
      <c r="AH17">
        <v>0.5</v>
      </c>
      <c r="AI17">
        <v>0.5</v>
      </c>
      <c r="AJ17">
        <v>0.33333333333333331</v>
      </c>
      <c r="AK17">
        <v>0.33333333333333331</v>
      </c>
      <c r="AL17">
        <v>0.25</v>
      </c>
      <c r="AM17">
        <v>0.2</v>
      </c>
      <c r="AN17">
        <v>0.2</v>
      </c>
      <c r="AO17">
        <v>0.16666666666666666</v>
      </c>
      <c r="AP17"/>
      <c r="AQ17"/>
      <c r="AR17"/>
      <c r="AS17"/>
      <c r="AT17"/>
      <c r="AY17" s="7" t="s">
        <v>105</v>
      </c>
    </row>
    <row r="18" spans="3:51" x14ac:dyDescent="0.25">
      <c r="C18">
        <v>16</v>
      </c>
      <c r="D18">
        <v>1600</v>
      </c>
      <c r="E18">
        <v>3200</v>
      </c>
      <c r="F18">
        <v>4800</v>
      </c>
      <c r="G18">
        <v>7200</v>
      </c>
      <c r="L18">
        <v>16</v>
      </c>
      <c r="N18" t="s">
        <v>106</v>
      </c>
      <c r="O18">
        <v>1600</v>
      </c>
      <c r="P18">
        <v>3200</v>
      </c>
      <c r="Q18">
        <v>4800</v>
      </c>
      <c r="R18">
        <v>7200</v>
      </c>
      <c r="T18">
        <v>12</v>
      </c>
      <c r="U18">
        <v>8400</v>
      </c>
      <c r="W18">
        <v>16</v>
      </c>
      <c r="X18">
        <v>12</v>
      </c>
      <c r="Y18">
        <v>12</v>
      </c>
      <c r="Z18">
        <v>12</v>
      </c>
      <c r="AA18">
        <v>12</v>
      </c>
      <c r="AB18">
        <v>5</v>
      </c>
      <c r="AC18">
        <v>3</v>
      </c>
      <c r="AD18">
        <v>2</v>
      </c>
      <c r="AE18">
        <v>1</v>
      </c>
      <c r="AF18">
        <v>1</v>
      </c>
      <c r="AG18">
        <v>1</v>
      </c>
      <c r="AH18">
        <v>0.5</v>
      </c>
      <c r="AI18">
        <v>0.5</v>
      </c>
      <c r="AJ18">
        <v>0.5</v>
      </c>
      <c r="AK18">
        <v>0.33333333333333331</v>
      </c>
      <c r="AL18">
        <v>0.25</v>
      </c>
      <c r="AM18">
        <v>0.25</v>
      </c>
      <c r="AN18">
        <v>0.2</v>
      </c>
      <c r="AO18">
        <v>0.2</v>
      </c>
      <c r="AP18">
        <v>0.16666666666666666</v>
      </c>
      <c r="AQ18"/>
      <c r="AR18"/>
      <c r="AS18"/>
      <c r="AT18"/>
      <c r="AY18" s="7" t="s">
        <v>107</v>
      </c>
    </row>
    <row r="19" spans="3:51" x14ac:dyDescent="0.25">
      <c r="C19">
        <v>17</v>
      </c>
      <c r="D19">
        <v>2000</v>
      </c>
      <c r="E19">
        <v>3900</v>
      </c>
      <c r="F19">
        <v>5900</v>
      </c>
      <c r="G19">
        <v>8800</v>
      </c>
      <c r="L19">
        <v>17</v>
      </c>
      <c r="N19" t="s">
        <v>108</v>
      </c>
      <c r="O19">
        <v>2000</v>
      </c>
      <c r="P19">
        <v>3900</v>
      </c>
      <c r="Q19">
        <v>5900</v>
      </c>
      <c r="R19">
        <v>8800</v>
      </c>
      <c r="T19">
        <v>13</v>
      </c>
      <c r="U19">
        <v>10000</v>
      </c>
      <c r="W19">
        <v>17</v>
      </c>
      <c r="X19">
        <v>12</v>
      </c>
      <c r="Y19">
        <v>12</v>
      </c>
      <c r="Z19">
        <v>12</v>
      </c>
      <c r="AA19">
        <v>12</v>
      </c>
      <c r="AB19">
        <v>7</v>
      </c>
      <c r="AC19">
        <v>4</v>
      </c>
      <c r="AD19">
        <v>3</v>
      </c>
      <c r="AE19">
        <v>2</v>
      </c>
      <c r="AF19">
        <v>1</v>
      </c>
      <c r="AG19">
        <v>1</v>
      </c>
      <c r="AH19">
        <v>1</v>
      </c>
      <c r="AI19">
        <v>0.5</v>
      </c>
      <c r="AJ19">
        <v>0.5</v>
      </c>
      <c r="AK19">
        <v>0.5</v>
      </c>
      <c r="AL19">
        <v>0.33333333333333331</v>
      </c>
      <c r="AM19">
        <v>0.33333333333333331</v>
      </c>
      <c r="AN19">
        <v>0.25</v>
      </c>
      <c r="AO19">
        <v>0.25</v>
      </c>
      <c r="AP19">
        <v>0.2</v>
      </c>
      <c r="AQ19">
        <v>0.16666666666666666</v>
      </c>
      <c r="AR19"/>
      <c r="AS19"/>
      <c r="AT19"/>
      <c r="AY19" s="7" t="s">
        <v>109</v>
      </c>
    </row>
    <row r="20" spans="3:51" x14ac:dyDescent="0.25">
      <c r="C20">
        <v>18</v>
      </c>
      <c r="D20">
        <v>2100</v>
      </c>
      <c r="E20">
        <v>4200</v>
      </c>
      <c r="F20">
        <v>6300</v>
      </c>
      <c r="G20">
        <v>9500</v>
      </c>
      <c r="L20">
        <v>18</v>
      </c>
      <c r="N20" t="s">
        <v>110</v>
      </c>
      <c r="O20">
        <v>2100</v>
      </c>
      <c r="P20">
        <v>4200</v>
      </c>
      <c r="Q20">
        <v>6300</v>
      </c>
      <c r="R20">
        <v>9500</v>
      </c>
      <c r="T20">
        <v>14</v>
      </c>
      <c r="U20">
        <v>11500</v>
      </c>
      <c r="W20">
        <v>18</v>
      </c>
      <c r="X20">
        <v>12</v>
      </c>
      <c r="Y20">
        <v>12</v>
      </c>
      <c r="Z20">
        <v>12</v>
      </c>
      <c r="AA20">
        <v>12</v>
      </c>
      <c r="AB20">
        <v>7</v>
      </c>
      <c r="AC20">
        <v>5</v>
      </c>
      <c r="AD20">
        <v>3</v>
      </c>
      <c r="AE20">
        <v>2</v>
      </c>
      <c r="AF20">
        <v>1</v>
      </c>
      <c r="AG20">
        <v>1</v>
      </c>
      <c r="AH20">
        <v>1</v>
      </c>
      <c r="AI20">
        <v>0.5</v>
      </c>
      <c r="AJ20">
        <v>0.5</v>
      </c>
      <c r="AK20">
        <v>0.5</v>
      </c>
      <c r="AL20">
        <v>0.33333333333333331</v>
      </c>
      <c r="AM20">
        <v>0.33333333333333331</v>
      </c>
      <c r="AN20">
        <v>0.25</v>
      </c>
      <c r="AO20">
        <v>0.25</v>
      </c>
      <c r="AP20">
        <v>0.2</v>
      </c>
      <c r="AQ20">
        <v>0.16666666666666666</v>
      </c>
      <c r="AR20">
        <v>0.16666666666666666</v>
      </c>
      <c r="AS20"/>
      <c r="AT20"/>
      <c r="AY20" s="7" t="s">
        <v>111</v>
      </c>
    </row>
    <row r="21" spans="3:51" x14ac:dyDescent="0.25">
      <c r="C21">
        <v>19</v>
      </c>
      <c r="D21">
        <v>2400</v>
      </c>
      <c r="E21">
        <v>4900</v>
      </c>
      <c r="F21">
        <v>7300</v>
      </c>
      <c r="G21">
        <v>10900</v>
      </c>
      <c r="L21">
        <v>19</v>
      </c>
      <c r="N21" t="s">
        <v>112</v>
      </c>
      <c r="O21">
        <v>2400</v>
      </c>
      <c r="P21">
        <v>4900</v>
      </c>
      <c r="Q21">
        <v>7300</v>
      </c>
      <c r="R21">
        <v>10900</v>
      </c>
      <c r="T21">
        <v>15</v>
      </c>
      <c r="U21">
        <v>13000</v>
      </c>
      <c r="W21">
        <v>19</v>
      </c>
      <c r="X21">
        <v>12</v>
      </c>
      <c r="Y21">
        <v>12</v>
      </c>
      <c r="Z21">
        <v>12</v>
      </c>
      <c r="AA21">
        <v>12</v>
      </c>
      <c r="AB21">
        <v>8</v>
      </c>
      <c r="AC21">
        <v>5</v>
      </c>
      <c r="AD21">
        <v>3</v>
      </c>
      <c r="AE21">
        <v>2</v>
      </c>
      <c r="AF21">
        <v>2</v>
      </c>
      <c r="AG21">
        <v>1</v>
      </c>
      <c r="AH21">
        <v>1</v>
      </c>
      <c r="AI21">
        <v>1</v>
      </c>
      <c r="AJ21">
        <v>0.5</v>
      </c>
      <c r="AK21">
        <v>0.5</v>
      </c>
      <c r="AL21">
        <v>0.5</v>
      </c>
      <c r="AM21">
        <v>0.33333333333333331</v>
      </c>
      <c r="AN21">
        <v>0.33333333333333331</v>
      </c>
      <c r="AO21">
        <v>0.25</v>
      </c>
      <c r="AP21">
        <v>0.25</v>
      </c>
      <c r="AQ21">
        <v>0.2</v>
      </c>
      <c r="AR21">
        <v>0.16666666666666666</v>
      </c>
      <c r="AS21">
        <v>0.16666666666666666</v>
      </c>
      <c r="AT21"/>
      <c r="AY21" s="7" t="s">
        <v>113</v>
      </c>
    </row>
    <row r="22" spans="3:51" x14ac:dyDescent="0.25">
      <c r="C22">
        <v>20</v>
      </c>
      <c r="D22">
        <v>2800</v>
      </c>
      <c r="E22">
        <v>5700</v>
      </c>
      <c r="F22">
        <v>8500</v>
      </c>
      <c r="G22">
        <v>12700</v>
      </c>
      <c r="L22">
        <v>20</v>
      </c>
      <c r="N22" t="s">
        <v>114</v>
      </c>
      <c r="O22">
        <v>2800</v>
      </c>
      <c r="P22">
        <v>5700</v>
      </c>
      <c r="Q22">
        <v>8500</v>
      </c>
      <c r="R22">
        <v>12700</v>
      </c>
      <c r="T22">
        <v>16</v>
      </c>
      <c r="U22">
        <v>15000</v>
      </c>
      <c r="W22">
        <v>20</v>
      </c>
      <c r="X22">
        <v>12</v>
      </c>
      <c r="Y22">
        <v>12</v>
      </c>
      <c r="Z22">
        <v>12</v>
      </c>
      <c r="AA22">
        <v>12</v>
      </c>
      <c r="AB22">
        <v>9</v>
      </c>
      <c r="AC22">
        <v>6</v>
      </c>
      <c r="AD22">
        <v>4</v>
      </c>
      <c r="AE22">
        <v>2</v>
      </c>
      <c r="AF22">
        <v>2</v>
      </c>
      <c r="AG22">
        <v>1</v>
      </c>
      <c r="AH22">
        <v>1</v>
      </c>
      <c r="AI22">
        <v>1</v>
      </c>
      <c r="AJ22">
        <v>1</v>
      </c>
      <c r="AK22">
        <v>0.5</v>
      </c>
      <c r="AL22">
        <v>0.5</v>
      </c>
      <c r="AM22">
        <v>0.5</v>
      </c>
      <c r="AN22">
        <v>0.33333333333333331</v>
      </c>
      <c r="AO22">
        <v>0.33333333333333331</v>
      </c>
      <c r="AP22">
        <v>0.25</v>
      </c>
      <c r="AQ22">
        <v>0.25</v>
      </c>
      <c r="AR22">
        <v>0.2</v>
      </c>
      <c r="AS22">
        <v>0.2</v>
      </c>
      <c r="AT22">
        <v>0.16666666666666666</v>
      </c>
      <c r="AY22" s="7" t="s">
        <v>115</v>
      </c>
    </row>
    <row r="23" spans="3:51" x14ac:dyDescent="0.25">
      <c r="L23">
        <v>21</v>
      </c>
      <c r="T23">
        <v>17</v>
      </c>
      <c r="U23">
        <v>18000</v>
      </c>
      <c r="AY23" s="7" t="s">
        <v>116</v>
      </c>
    </row>
    <row r="24" spans="3:51" x14ac:dyDescent="0.25">
      <c r="L24">
        <v>22</v>
      </c>
      <c r="T24">
        <v>18</v>
      </c>
      <c r="U24">
        <v>20000</v>
      </c>
      <c r="AY24" s="7" t="s">
        <v>117</v>
      </c>
    </row>
    <row r="25" spans="3:51" x14ac:dyDescent="0.25">
      <c r="L25">
        <v>23</v>
      </c>
      <c r="T25">
        <v>19</v>
      </c>
      <c r="U25">
        <v>22000</v>
      </c>
      <c r="AY25" s="7" t="s">
        <v>118</v>
      </c>
    </row>
    <row r="26" spans="3:51" x14ac:dyDescent="0.25">
      <c r="L26">
        <v>24</v>
      </c>
      <c r="T26">
        <v>20</v>
      </c>
      <c r="U26">
        <v>25000</v>
      </c>
      <c r="AY26" s="7" t="s">
        <v>119</v>
      </c>
    </row>
    <row r="27" spans="3:51" x14ac:dyDescent="0.25">
      <c r="L27">
        <v>25</v>
      </c>
      <c r="T27">
        <v>21</v>
      </c>
      <c r="U27">
        <v>33000</v>
      </c>
      <c r="AY27" s="7" t="s">
        <v>120</v>
      </c>
    </row>
    <row r="28" spans="3:51" x14ac:dyDescent="0.25">
      <c r="L28">
        <v>26</v>
      </c>
      <c r="T28">
        <v>22</v>
      </c>
      <c r="U28">
        <v>41000</v>
      </c>
      <c r="AY28" s="7" t="s">
        <v>121</v>
      </c>
    </row>
    <row r="29" spans="3:51" x14ac:dyDescent="0.25">
      <c r="L29">
        <v>27</v>
      </c>
      <c r="T29">
        <v>23</v>
      </c>
      <c r="U29">
        <v>50000</v>
      </c>
      <c r="AY29" s="7" t="s">
        <v>122</v>
      </c>
    </row>
    <row r="30" spans="3:51" x14ac:dyDescent="0.25">
      <c r="L30">
        <v>28</v>
      </c>
      <c r="T30">
        <v>24</v>
      </c>
      <c r="U30">
        <v>62000</v>
      </c>
      <c r="AY30" s="7" t="s">
        <v>123</v>
      </c>
    </row>
    <row r="31" spans="3:51" x14ac:dyDescent="0.25">
      <c r="L31">
        <v>29</v>
      </c>
      <c r="T31">
        <v>25</v>
      </c>
      <c r="U31">
        <v>75000</v>
      </c>
      <c r="AY31" s="7" t="s">
        <v>124</v>
      </c>
    </row>
    <row r="32" spans="3:51" x14ac:dyDescent="0.25">
      <c r="L32">
        <v>30</v>
      </c>
      <c r="T32">
        <v>26</v>
      </c>
      <c r="U32">
        <v>90000</v>
      </c>
      <c r="AY32" s="7" t="s">
        <v>125</v>
      </c>
    </row>
    <row r="33" spans="12:51" x14ac:dyDescent="0.25">
      <c r="L33">
        <v>31</v>
      </c>
      <c r="T33">
        <v>30</v>
      </c>
      <c r="U33">
        <v>155000</v>
      </c>
      <c r="AY33" s="7" t="s">
        <v>126</v>
      </c>
    </row>
    <row r="34" spans="12:51" x14ac:dyDescent="0.25">
      <c r="L34">
        <v>32</v>
      </c>
      <c r="T34" t="s">
        <v>127</v>
      </c>
      <c r="U34">
        <v>0</v>
      </c>
      <c r="AY34" s="7" t="s">
        <v>128</v>
      </c>
    </row>
    <row r="35" spans="12:51" x14ac:dyDescent="0.25">
      <c r="L35">
        <v>33</v>
      </c>
      <c r="AY35" s="7" t="s">
        <v>129</v>
      </c>
    </row>
    <row r="36" spans="12:51" x14ac:dyDescent="0.25">
      <c r="L36">
        <v>34</v>
      </c>
      <c r="AY36" s="7" t="s">
        <v>130</v>
      </c>
    </row>
    <row r="37" spans="12:51" x14ac:dyDescent="0.25">
      <c r="L37">
        <v>35</v>
      </c>
      <c r="AY37" s="7" t="s">
        <v>131</v>
      </c>
    </row>
    <row r="38" spans="12:51" x14ac:dyDescent="0.25">
      <c r="L38">
        <v>36</v>
      </c>
      <c r="AY38" s="7" t="s">
        <v>132</v>
      </c>
    </row>
    <row r="39" spans="12:51" x14ac:dyDescent="0.25">
      <c r="L39">
        <v>37</v>
      </c>
      <c r="AY39" s="7" t="s">
        <v>133</v>
      </c>
    </row>
    <row r="40" spans="12:51" x14ac:dyDescent="0.25">
      <c r="L40">
        <v>38</v>
      </c>
      <c r="AY40" s="7" t="s">
        <v>134</v>
      </c>
    </row>
    <row r="41" spans="12:51" x14ac:dyDescent="0.25">
      <c r="L41">
        <v>39</v>
      </c>
      <c r="AY41" s="7" t="s">
        <v>785</v>
      </c>
    </row>
    <row r="42" spans="12:51" x14ac:dyDescent="0.25">
      <c r="L42">
        <v>40</v>
      </c>
      <c r="AY42" s="7" t="s">
        <v>786</v>
      </c>
    </row>
    <row r="43" spans="12:51" x14ac:dyDescent="0.25">
      <c r="L43">
        <v>41</v>
      </c>
    </row>
    <row r="44" spans="12:51" x14ac:dyDescent="0.25">
      <c r="L44">
        <v>42</v>
      </c>
    </row>
    <row r="45" spans="12:51" x14ac:dyDescent="0.25">
      <c r="L45">
        <v>43</v>
      </c>
    </row>
    <row r="46" spans="12:51" x14ac:dyDescent="0.25">
      <c r="L46">
        <v>44</v>
      </c>
    </row>
    <row r="47" spans="12:51" x14ac:dyDescent="0.25">
      <c r="L47">
        <v>45</v>
      </c>
    </row>
    <row r="48" spans="12:51" x14ac:dyDescent="0.25">
      <c r="L48">
        <v>46</v>
      </c>
    </row>
    <row r="49" spans="12:12" x14ac:dyDescent="0.25">
      <c r="L49">
        <v>47</v>
      </c>
    </row>
    <row r="50" spans="12:12" x14ac:dyDescent="0.25">
      <c r="L50">
        <v>48</v>
      </c>
    </row>
    <row r="51" spans="12:12" x14ac:dyDescent="0.25">
      <c r="L51">
        <v>49</v>
      </c>
    </row>
    <row r="52" spans="12:12" x14ac:dyDescent="0.25">
      <c r="L52">
        <v>50</v>
      </c>
    </row>
    <row r="53" spans="12:12" x14ac:dyDescent="0.25">
      <c r="L53">
        <v>51</v>
      </c>
    </row>
    <row r="54" spans="12:12" x14ac:dyDescent="0.25">
      <c r="L54">
        <v>52</v>
      </c>
    </row>
    <row r="55" spans="12:12" x14ac:dyDescent="0.25">
      <c r="L55">
        <v>53</v>
      </c>
    </row>
    <row r="56" spans="12:12" x14ac:dyDescent="0.25">
      <c r="L56">
        <v>54</v>
      </c>
    </row>
    <row r="57" spans="12:12" x14ac:dyDescent="0.25">
      <c r="L57">
        <v>55</v>
      </c>
    </row>
    <row r="58" spans="12:12" x14ac:dyDescent="0.25">
      <c r="L58">
        <v>56</v>
      </c>
    </row>
    <row r="59" spans="12:12" x14ac:dyDescent="0.25">
      <c r="L59">
        <v>57</v>
      </c>
    </row>
    <row r="60" spans="12:12" x14ac:dyDescent="0.25">
      <c r="L60">
        <v>58</v>
      </c>
    </row>
    <row r="61" spans="12:12" x14ac:dyDescent="0.25">
      <c r="L61">
        <v>59</v>
      </c>
    </row>
    <row r="62" spans="12:12" x14ac:dyDescent="0.25">
      <c r="L62">
        <v>60</v>
      </c>
    </row>
    <row r="63" spans="12:12" x14ac:dyDescent="0.25">
      <c r="L63">
        <v>61</v>
      </c>
    </row>
    <row r="64" spans="12:12" x14ac:dyDescent="0.25">
      <c r="L64">
        <v>62</v>
      </c>
    </row>
    <row r="65" spans="12:12" x14ac:dyDescent="0.25">
      <c r="L65">
        <v>63</v>
      </c>
    </row>
    <row r="66" spans="12:12" x14ac:dyDescent="0.25">
      <c r="L66">
        <v>64</v>
      </c>
    </row>
    <row r="67" spans="12:12" x14ac:dyDescent="0.25">
      <c r="L67">
        <v>65</v>
      </c>
    </row>
    <row r="68" spans="12:12" x14ac:dyDescent="0.25">
      <c r="L68">
        <v>66</v>
      </c>
    </row>
    <row r="69" spans="12:12" x14ac:dyDescent="0.25">
      <c r="L69">
        <v>67</v>
      </c>
    </row>
    <row r="70" spans="12:12" x14ac:dyDescent="0.25">
      <c r="L70">
        <v>68</v>
      </c>
    </row>
    <row r="71" spans="12:12" x14ac:dyDescent="0.25">
      <c r="L71">
        <v>69</v>
      </c>
    </row>
    <row r="72" spans="12:12" x14ac:dyDescent="0.25">
      <c r="L72">
        <v>70</v>
      </c>
    </row>
    <row r="73" spans="12:12" x14ac:dyDescent="0.25">
      <c r="L73">
        <v>71</v>
      </c>
    </row>
    <row r="74" spans="12:12" x14ac:dyDescent="0.25">
      <c r="L74">
        <v>72</v>
      </c>
    </row>
  </sheetData>
  <mergeCells count="6">
    <mergeCell ref="BG1:BH1"/>
    <mergeCell ref="AV1:AW1"/>
    <mergeCell ref="N1:R1"/>
    <mergeCell ref="T1:U1"/>
    <mergeCell ref="W1:AS1"/>
    <mergeCell ref="BD1:BE1"/>
  </mergeCells>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74"/>
  <sheetViews>
    <sheetView topLeftCell="C13" workbookViewId="0">
      <selection activeCell="X4" sqref="X4"/>
    </sheetView>
  </sheetViews>
  <sheetFormatPr defaultColWidth="9.140625" defaultRowHeight="15" x14ac:dyDescent="0.25"/>
  <cols>
    <col min="1" max="1" width="20.7109375" style="64" customWidth="1"/>
    <col min="2" max="2" width="42.85546875" style="70" customWidth="1"/>
    <col min="3" max="3" width="6.42578125" style="64" bestFit="1" customWidth="1"/>
    <col min="4" max="4" width="0" style="5" hidden="1" customWidth="1"/>
    <col min="5" max="5" width="9.140625" style="5"/>
    <col min="6" max="6" width="8" style="5" bestFit="1" customWidth="1"/>
    <col min="7" max="7" width="7" style="5" bestFit="1" customWidth="1"/>
    <col min="8" max="8" width="13.140625" style="5" bestFit="1" customWidth="1"/>
    <col min="9" max="9" width="0" style="5" hidden="1" customWidth="1"/>
    <col min="10" max="10" width="9.140625" style="5"/>
    <col min="11" max="11" width="15.28515625" style="5" bestFit="1" customWidth="1"/>
    <col min="12" max="12" width="43.28515625" style="8" customWidth="1"/>
    <col min="13" max="13" width="9.140625" style="5"/>
    <col min="14" max="14" width="26.7109375" style="5" bestFit="1" customWidth="1"/>
    <col min="15" max="15" width="31.85546875" style="8" customWidth="1"/>
    <col min="16" max="16" width="11.5703125" style="5" bestFit="1" customWidth="1"/>
    <col min="17" max="17" width="24.140625" style="5" bestFit="1" customWidth="1"/>
    <col min="18" max="19" width="11.85546875" style="5" bestFit="1" customWidth="1"/>
    <col min="20" max="20" width="11.85546875" style="5" customWidth="1"/>
    <col min="21" max="21" width="30.7109375" style="5" bestFit="1" customWidth="1"/>
    <col min="22" max="22" width="8.42578125" style="8" bestFit="1" customWidth="1"/>
    <col min="23" max="23" width="9.85546875" style="5" bestFit="1" customWidth="1"/>
    <col min="24" max="24" width="47.42578125" style="5" bestFit="1" customWidth="1"/>
    <col min="25" max="25" width="14.5703125" style="5" bestFit="1" customWidth="1"/>
    <col min="26" max="16384" width="9.140625" style="5"/>
  </cols>
  <sheetData>
    <row r="1" spans="1:25" x14ac:dyDescent="0.25">
      <c r="A1" s="101" t="s">
        <v>135</v>
      </c>
      <c r="B1" s="101"/>
      <c r="C1" s="101"/>
      <c r="F1" s="101" t="s">
        <v>136</v>
      </c>
      <c r="G1" s="101"/>
      <c r="H1" s="101"/>
      <c r="K1" s="101" t="s">
        <v>137</v>
      </c>
      <c r="L1" s="101"/>
      <c r="N1" s="101" t="s">
        <v>138</v>
      </c>
      <c r="O1" s="101"/>
      <c r="P1" s="101"/>
      <c r="Q1" s="101"/>
      <c r="S1" s="69" t="s">
        <v>139</v>
      </c>
      <c r="U1" s="101" t="s">
        <v>140</v>
      </c>
      <c r="V1" s="101"/>
      <c r="W1" s="101"/>
      <c r="X1" s="101"/>
      <c r="Y1" s="101"/>
    </row>
    <row r="2" spans="1:25" ht="15.75" customHeight="1" x14ac:dyDescent="0.25">
      <c r="A2" t="s">
        <v>141</v>
      </c>
      <c r="B2" s="6" t="s">
        <v>142</v>
      </c>
      <c r="C2" t="s">
        <v>143</v>
      </c>
      <c r="F2" t="s">
        <v>13</v>
      </c>
      <c r="G2" t="s">
        <v>144</v>
      </c>
      <c r="H2" t="s">
        <v>145</v>
      </c>
      <c r="K2" t="s">
        <v>146</v>
      </c>
      <c r="L2" s="6" t="s">
        <v>142</v>
      </c>
      <c r="N2" t="s">
        <v>147</v>
      </c>
      <c r="O2" s="6" t="s">
        <v>148</v>
      </c>
      <c r="P2" t="s">
        <v>149</v>
      </c>
      <c r="Q2" t="s">
        <v>150</v>
      </c>
      <c r="S2" t="s">
        <v>151</v>
      </c>
      <c r="U2" t="s">
        <v>48</v>
      </c>
      <c r="V2" t="s">
        <v>152</v>
      </c>
      <c r="W2" t="s">
        <v>153</v>
      </c>
      <c r="X2" t="s">
        <v>154</v>
      </c>
      <c r="Y2" t="s">
        <v>155</v>
      </c>
    </row>
    <row r="3" spans="1:25" ht="91.5" customHeight="1" x14ac:dyDescent="0.25">
      <c r="A3" t="s">
        <v>156</v>
      </c>
      <c r="B3" s="6" t="s">
        <v>835</v>
      </c>
      <c r="C3">
        <v>1</v>
      </c>
      <c r="E3" s="71"/>
      <c r="F3">
        <v>1</v>
      </c>
      <c r="G3">
        <v>0</v>
      </c>
      <c r="H3" s="79">
        <v>2</v>
      </c>
      <c r="K3" t="s">
        <v>157</v>
      </c>
      <c r="L3" s="6" t="s">
        <v>835</v>
      </c>
      <c r="N3" t="s">
        <v>158</v>
      </c>
      <c r="O3" s="6" t="s">
        <v>835</v>
      </c>
      <c r="P3">
        <v>1</v>
      </c>
      <c r="Q3" t="s">
        <v>159</v>
      </c>
      <c r="S3" t="s">
        <v>160</v>
      </c>
      <c r="U3" t="s">
        <v>161</v>
      </c>
      <c r="V3" t="s">
        <v>162</v>
      </c>
      <c r="W3" t="s">
        <v>163</v>
      </c>
      <c r="X3" t="s">
        <v>164</v>
      </c>
      <c r="Y3" t="s">
        <v>165</v>
      </c>
    </row>
    <row r="4" spans="1:25" ht="181.5" customHeight="1" x14ac:dyDescent="0.25">
      <c r="A4" t="s">
        <v>166</v>
      </c>
      <c r="B4" s="6" t="s">
        <v>835</v>
      </c>
      <c r="C4">
        <v>2</v>
      </c>
      <c r="F4">
        <v>2</v>
      </c>
      <c r="G4">
        <v>300</v>
      </c>
      <c r="H4" s="79">
        <v>2</v>
      </c>
      <c r="K4" t="s">
        <v>167</v>
      </c>
      <c r="L4" s="6" t="s">
        <v>835</v>
      </c>
      <c r="N4" t="s">
        <v>168</v>
      </c>
      <c r="O4" s="6" t="s">
        <v>835</v>
      </c>
      <c r="P4">
        <v>1</v>
      </c>
      <c r="Q4" t="s">
        <v>159</v>
      </c>
      <c r="S4" t="s">
        <v>169</v>
      </c>
      <c r="U4" t="s">
        <v>170</v>
      </c>
      <c r="V4" t="s">
        <v>171</v>
      </c>
      <c r="W4" t="s">
        <v>172</v>
      </c>
      <c r="X4" t="s">
        <v>173</v>
      </c>
      <c r="Y4" t="s">
        <v>165</v>
      </c>
    </row>
    <row r="5" spans="1:25" ht="106.5" customHeight="1" x14ac:dyDescent="0.25">
      <c r="A5" t="s">
        <v>174</v>
      </c>
      <c r="B5" s="6" t="s">
        <v>835</v>
      </c>
      <c r="C5">
        <v>3</v>
      </c>
      <c r="F5">
        <v>3</v>
      </c>
      <c r="G5">
        <v>900</v>
      </c>
      <c r="H5" s="79">
        <v>2</v>
      </c>
      <c r="K5" t="s">
        <v>175</v>
      </c>
      <c r="L5" s="6" t="s">
        <v>835</v>
      </c>
      <c r="N5" t="s">
        <v>176</v>
      </c>
      <c r="O5" s="6" t="s">
        <v>835</v>
      </c>
      <c r="P5">
        <v>1</v>
      </c>
      <c r="Q5" t="s">
        <v>159</v>
      </c>
      <c r="S5" t="s">
        <v>177</v>
      </c>
      <c r="U5" t="s">
        <v>178</v>
      </c>
      <c r="V5" t="s">
        <v>179</v>
      </c>
      <c r="W5" t="s">
        <v>180</v>
      </c>
      <c r="X5" t="s">
        <v>181</v>
      </c>
      <c r="Y5" t="s">
        <v>165</v>
      </c>
    </row>
    <row r="6" spans="1:25" ht="76.5" customHeight="1" x14ac:dyDescent="0.25">
      <c r="A6" t="s">
        <v>182</v>
      </c>
      <c r="B6" s="6" t="s">
        <v>835</v>
      </c>
      <c r="C6">
        <v>4</v>
      </c>
      <c r="F6">
        <v>4</v>
      </c>
      <c r="G6">
        <v>2700</v>
      </c>
      <c r="H6" s="79">
        <v>2</v>
      </c>
      <c r="K6" t="s">
        <v>183</v>
      </c>
      <c r="L6" s="6" t="s">
        <v>835</v>
      </c>
      <c r="N6" t="s">
        <v>184</v>
      </c>
      <c r="O6" s="6" t="s">
        <v>835</v>
      </c>
      <c r="P6">
        <v>2</v>
      </c>
      <c r="Q6" t="s">
        <v>159</v>
      </c>
      <c r="S6" t="s">
        <v>185</v>
      </c>
      <c r="U6" t="s">
        <v>186</v>
      </c>
      <c r="V6" t="s">
        <v>171</v>
      </c>
      <c r="W6" t="s">
        <v>187</v>
      </c>
      <c r="X6" t="s">
        <v>188</v>
      </c>
      <c r="Y6" t="s">
        <v>189</v>
      </c>
    </row>
    <row r="7" spans="1:25" ht="106.5" customHeight="1" x14ac:dyDescent="0.25">
      <c r="A7" t="s">
        <v>190</v>
      </c>
      <c r="B7" s="6" t="s">
        <v>835</v>
      </c>
      <c r="C7" s="73" t="s">
        <v>191</v>
      </c>
      <c r="F7">
        <v>5</v>
      </c>
      <c r="G7">
        <v>6500</v>
      </c>
      <c r="H7" s="79">
        <v>3</v>
      </c>
      <c r="K7" t="s">
        <v>192</v>
      </c>
      <c r="L7" s="6" t="s">
        <v>835</v>
      </c>
      <c r="N7" t="s">
        <v>193</v>
      </c>
      <c r="O7" s="6" t="s">
        <v>835</v>
      </c>
      <c r="P7">
        <v>2</v>
      </c>
      <c r="Q7" t="s">
        <v>194</v>
      </c>
      <c r="S7" t="s">
        <v>195</v>
      </c>
      <c r="U7" t="s">
        <v>196</v>
      </c>
      <c r="V7" t="s">
        <v>197</v>
      </c>
      <c r="W7" t="s">
        <v>198</v>
      </c>
      <c r="X7" t="s">
        <v>199</v>
      </c>
      <c r="Y7" t="s">
        <v>189</v>
      </c>
    </row>
    <row r="8" spans="1:25" ht="61.5" customHeight="1" x14ac:dyDescent="0.25">
      <c r="A8" t="s">
        <v>200</v>
      </c>
      <c r="B8" s="6" t="s">
        <v>835</v>
      </c>
      <c r="C8" s="72" t="s">
        <v>201</v>
      </c>
      <c r="F8">
        <v>6</v>
      </c>
      <c r="G8">
        <v>14000</v>
      </c>
      <c r="H8" s="79">
        <v>3</v>
      </c>
      <c r="K8" t="s">
        <v>202</v>
      </c>
      <c r="L8" s="6" t="s">
        <v>835</v>
      </c>
      <c r="N8" t="s">
        <v>203</v>
      </c>
      <c r="O8" s="6" t="s">
        <v>835</v>
      </c>
      <c r="P8">
        <v>1</v>
      </c>
      <c r="Q8" t="s">
        <v>159</v>
      </c>
      <c r="S8" t="s">
        <v>204</v>
      </c>
      <c r="U8" t="s">
        <v>205</v>
      </c>
      <c r="V8" t="s">
        <v>197</v>
      </c>
      <c r="W8" t="s">
        <v>206</v>
      </c>
      <c r="X8" t="s">
        <v>207</v>
      </c>
      <c r="Y8" t="s">
        <v>189</v>
      </c>
    </row>
    <row r="9" spans="1:25" ht="106.5" customHeight="1" x14ac:dyDescent="0.25">
      <c r="A9" t="s">
        <v>208</v>
      </c>
      <c r="B9" s="6" t="s">
        <v>835</v>
      </c>
      <c r="C9" s="72" t="s">
        <v>209</v>
      </c>
      <c r="F9">
        <v>7</v>
      </c>
      <c r="G9">
        <v>23000</v>
      </c>
      <c r="H9" s="79">
        <v>3</v>
      </c>
      <c r="K9" t="s">
        <v>210</v>
      </c>
      <c r="L9" s="6" t="s">
        <v>835</v>
      </c>
      <c r="N9" s="5" t="s">
        <v>789</v>
      </c>
      <c r="O9" s="6" t="s">
        <v>835</v>
      </c>
      <c r="P9" s="5">
        <v>1</v>
      </c>
      <c r="Q9" s="5" t="s">
        <v>159</v>
      </c>
      <c r="S9" t="s">
        <v>212</v>
      </c>
      <c r="U9" t="s">
        <v>213</v>
      </c>
      <c r="V9" t="s">
        <v>214</v>
      </c>
      <c r="W9" t="s">
        <v>198</v>
      </c>
      <c r="X9" t="s">
        <v>215</v>
      </c>
      <c r="Y9" t="s">
        <v>189</v>
      </c>
    </row>
    <row r="10" spans="1:25" ht="121.5" customHeight="1" x14ac:dyDescent="0.25">
      <c r="A10" t="s">
        <v>216</v>
      </c>
      <c r="B10" s="6" t="s">
        <v>835</v>
      </c>
      <c r="C10" s="72" t="s">
        <v>217</v>
      </c>
      <c r="F10">
        <v>8</v>
      </c>
      <c r="G10">
        <v>34000</v>
      </c>
      <c r="H10" s="79">
        <v>3</v>
      </c>
      <c r="K10" t="s">
        <v>218</v>
      </c>
      <c r="L10" s="6" t="s">
        <v>835</v>
      </c>
      <c r="N10" t="s">
        <v>211</v>
      </c>
      <c r="O10" s="6" t="s">
        <v>835</v>
      </c>
      <c r="P10">
        <v>1</v>
      </c>
      <c r="Q10" t="s">
        <v>159</v>
      </c>
      <c r="S10" t="s">
        <v>221</v>
      </c>
      <c r="U10" t="s">
        <v>222</v>
      </c>
      <c r="V10" t="s">
        <v>223</v>
      </c>
      <c r="W10" t="s">
        <v>224</v>
      </c>
      <c r="X10" t="s">
        <v>225</v>
      </c>
      <c r="Y10" t="s">
        <v>189</v>
      </c>
    </row>
    <row r="11" spans="1:25" ht="106.5" customHeight="1" x14ac:dyDescent="0.25">
      <c r="A11" t="s">
        <v>226</v>
      </c>
      <c r="B11" s="6" t="s">
        <v>835</v>
      </c>
      <c r="C11" s="72" t="s">
        <v>227</v>
      </c>
      <c r="F11">
        <v>9</v>
      </c>
      <c r="G11">
        <v>48000</v>
      </c>
      <c r="H11" s="79">
        <v>4</v>
      </c>
      <c r="K11" t="s">
        <v>228</v>
      </c>
      <c r="L11" s="6" t="s">
        <v>835</v>
      </c>
      <c r="N11" t="s">
        <v>219</v>
      </c>
      <c r="O11" s="6" t="s">
        <v>835</v>
      </c>
      <c r="P11">
        <v>1</v>
      </c>
      <c r="Q11" t="s">
        <v>220</v>
      </c>
      <c r="S11" t="s">
        <v>230</v>
      </c>
      <c r="U11" t="s">
        <v>231</v>
      </c>
      <c r="V11" t="s">
        <v>232</v>
      </c>
      <c r="W11" t="s">
        <v>224</v>
      </c>
      <c r="X11" t="s">
        <v>233</v>
      </c>
      <c r="Y11" t="s">
        <v>234</v>
      </c>
    </row>
    <row r="12" spans="1:25" ht="76.5" customHeight="1" x14ac:dyDescent="0.25">
      <c r="F12">
        <v>10</v>
      </c>
      <c r="G12">
        <v>64000</v>
      </c>
      <c r="H12" s="79">
        <v>4</v>
      </c>
      <c r="K12" t="s">
        <v>235</v>
      </c>
      <c r="L12" s="6" t="s">
        <v>835</v>
      </c>
      <c r="N12" s="5" t="s">
        <v>326</v>
      </c>
      <c r="O12" s="6" t="s">
        <v>835</v>
      </c>
      <c r="P12" s="5">
        <v>1</v>
      </c>
      <c r="Q12" s="5" t="s">
        <v>327</v>
      </c>
      <c r="S12" t="s">
        <v>237</v>
      </c>
      <c r="U12" t="s">
        <v>238</v>
      </c>
      <c r="V12" t="s">
        <v>239</v>
      </c>
      <c r="W12" t="s">
        <v>240</v>
      </c>
      <c r="X12" t="s">
        <v>241</v>
      </c>
      <c r="Y12" t="s">
        <v>234</v>
      </c>
    </row>
    <row r="13" spans="1:25" ht="136.5" customHeight="1" x14ac:dyDescent="0.25">
      <c r="F13">
        <v>11</v>
      </c>
      <c r="G13">
        <v>85000</v>
      </c>
      <c r="H13" s="79">
        <v>4</v>
      </c>
      <c r="K13" t="s">
        <v>242</v>
      </c>
      <c r="L13" s="6" t="s">
        <v>835</v>
      </c>
      <c r="N13" t="s">
        <v>229</v>
      </c>
      <c r="O13" s="6" t="s">
        <v>835</v>
      </c>
      <c r="P13">
        <v>1</v>
      </c>
      <c r="Q13" t="s">
        <v>159</v>
      </c>
      <c r="S13" t="s">
        <v>244</v>
      </c>
      <c r="U13" t="s">
        <v>245</v>
      </c>
      <c r="V13" t="s">
        <v>246</v>
      </c>
      <c r="W13" t="s">
        <v>247</v>
      </c>
      <c r="X13" t="s">
        <v>248</v>
      </c>
      <c r="Y13" t="s">
        <v>234</v>
      </c>
    </row>
    <row r="14" spans="1:25" ht="106.5" customHeight="1" x14ac:dyDescent="0.25">
      <c r="F14">
        <v>12</v>
      </c>
      <c r="G14">
        <v>100000</v>
      </c>
      <c r="H14" s="79">
        <v>4</v>
      </c>
      <c r="K14" t="s">
        <v>249</v>
      </c>
      <c r="L14" s="6" t="s">
        <v>835</v>
      </c>
      <c r="N14" t="s">
        <v>236</v>
      </c>
      <c r="O14" s="6" t="s">
        <v>835</v>
      </c>
      <c r="P14">
        <v>1</v>
      </c>
      <c r="Q14" t="s">
        <v>159</v>
      </c>
      <c r="S14" t="s">
        <v>251</v>
      </c>
      <c r="U14" t="s">
        <v>252</v>
      </c>
      <c r="V14" t="s">
        <v>253</v>
      </c>
      <c r="W14" t="s">
        <v>254</v>
      </c>
      <c r="X14" t="s">
        <v>255</v>
      </c>
      <c r="Y14" t="s">
        <v>234</v>
      </c>
    </row>
    <row r="15" spans="1:25" ht="136.5" customHeight="1" x14ac:dyDescent="0.25">
      <c r="F15">
        <v>13</v>
      </c>
      <c r="G15">
        <v>120000</v>
      </c>
      <c r="H15" s="79">
        <v>5</v>
      </c>
      <c r="K15" t="s">
        <v>256</v>
      </c>
      <c r="L15" s="6" t="s">
        <v>835</v>
      </c>
      <c r="N15" t="s">
        <v>243</v>
      </c>
      <c r="O15" s="6" t="s">
        <v>835</v>
      </c>
      <c r="P15">
        <v>1</v>
      </c>
      <c r="Q15" t="s">
        <v>159</v>
      </c>
      <c r="S15" t="s">
        <v>258</v>
      </c>
      <c r="U15" t="s">
        <v>259</v>
      </c>
      <c r="V15">
        <v>0</v>
      </c>
      <c r="W15">
        <v>0</v>
      </c>
      <c r="X15" t="s">
        <v>260</v>
      </c>
      <c r="Y15" t="s">
        <v>261</v>
      </c>
    </row>
    <row r="16" spans="1:25" ht="61.5" customHeight="1" x14ac:dyDescent="0.25">
      <c r="F16">
        <v>14</v>
      </c>
      <c r="G16">
        <v>140000</v>
      </c>
      <c r="H16" s="79">
        <v>5</v>
      </c>
      <c r="K16" t="s">
        <v>262</v>
      </c>
      <c r="L16" s="6" t="s">
        <v>835</v>
      </c>
      <c r="N16" t="s">
        <v>250</v>
      </c>
      <c r="O16" s="6" t="s">
        <v>835</v>
      </c>
      <c r="P16">
        <v>1</v>
      </c>
      <c r="Q16" t="s">
        <v>159</v>
      </c>
      <c r="S16" t="s">
        <v>264</v>
      </c>
      <c r="U16" t="s">
        <v>265</v>
      </c>
      <c r="V16">
        <v>0</v>
      </c>
      <c r="W16">
        <v>0</v>
      </c>
      <c r="X16" t="s">
        <v>266</v>
      </c>
      <c r="Y16" t="s">
        <v>261</v>
      </c>
    </row>
    <row r="17" spans="6:25" ht="136.5" customHeight="1" x14ac:dyDescent="0.25">
      <c r="F17">
        <v>15</v>
      </c>
      <c r="G17">
        <v>165000</v>
      </c>
      <c r="H17" s="79">
        <v>5</v>
      </c>
      <c r="K17" t="s">
        <v>267</v>
      </c>
      <c r="L17" s="6" t="s">
        <v>835</v>
      </c>
      <c r="N17" t="s">
        <v>257</v>
      </c>
      <c r="O17" s="6" t="s">
        <v>835</v>
      </c>
      <c r="P17">
        <v>1</v>
      </c>
      <c r="Q17" t="s">
        <v>159</v>
      </c>
      <c r="U17" t="s">
        <v>269</v>
      </c>
      <c r="V17">
        <v>0</v>
      </c>
      <c r="W17">
        <v>0</v>
      </c>
      <c r="X17" t="s">
        <v>270</v>
      </c>
      <c r="Y17" t="s">
        <v>261</v>
      </c>
    </row>
    <row r="18" spans="6:25" ht="241.5" customHeight="1" x14ac:dyDescent="0.25">
      <c r="F18">
        <v>16</v>
      </c>
      <c r="G18">
        <v>195000</v>
      </c>
      <c r="H18" s="79">
        <v>5</v>
      </c>
      <c r="K18" t="s">
        <v>271</v>
      </c>
      <c r="L18" s="6" t="s">
        <v>835</v>
      </c>
      <c r="N18" s="5" t="s">
        <v>787</v>
      </c>
      <c r="O18" s="6" t="s">
        <v>835</v>
      </c>
      <c r="P18" s="97">
        <v>1</v>
      </c>
      <c r="Q18" s="5" t="s">
        <v>792</v>
      </c>
      <c r="V18" s="5"/>
      <c r="X18" s="8"/>
    </row>
    <row r="19" spans="6:25" ht="31.5" customHeight="1" x14ac:dyDescent="0.25">
      <c r="F19">
        <v>17</v>
      </c>
      <c r="G19">
        <v>225000</v>
      </c>
      <c r="H19" s="79">
        <v>6</v>
      </c>
      <c r="K19" t="s">
        <v>273</v>
      </c>
      <c r="L19" s="6" t="s">
        <v>835</v>
      </c>
      <c r="N19" t="s">
        <v>263</v>
      </c>
      <c r="O19" s="6" t="s">
        <v>835</v>
      </c>
      <c r="P19">
        <v>1</v>
      </c>
      <c r="Q19" t="s">
        <v>159</v>
      </c>
      <c r="V19" s="5"/>
      <c r="X19" s="8"/>
    </row>
    <row r="20" spans="6:25" ht="136.5" customHeight="1" x14ac:dyDescent="0.25">
      <c r="F20">
        <v>18</v>
      </c>
      <c r="G20">
        <v>265000</v>
      </c>
      <c r="H20" s="79">
        <v>6</v>
      </c>
      <c r="K20" t="s">
        <v>275</v>
      </c>
      <c r="L20" s="6" t="s">
        <v>835</v>
      </c>
      <c r="N20" t="s">
        <v>268</v>
      </c>
      <c r="O20" s="6" t="s">
        <v>835</v>
      </c>
      <c r="P20">
        <v>2</v>
      </c>
      <c r="Q20" t="s">
        <v>159</v>
      </c>
      <c r="V20" s="5"/>
      <c r="X20" s="8"/>
    </row>
    <row r="21" spans="6:25" ht="121.5" customHeight="1" x14ac:dyDescent="0.25">
      <c r="F21">
        <v>19</v>
      </c>
      <c r="G21">
        <v>305000</v>
      </c>
      <c r="H21" s="79">
        <v>6</v>
      </c>
      <c r="K21" t="s">
        <v>277</v>
      </c>
      <c r="L21" s="6" t="s">
        <v>835</v>
      </c>
      <c r="N21" t="s">
        <v>272</v>
      </c>
      <c r="O21" s="6" t="s">
        <v>835</v>
      </c>
      <c r="P21">
        <v>1</v>
      </c>
      <c r="Q21" t="s">
        <v>159</v>
      </c>
      <c r="V21" s="5"/>
      <c r="X21" s="8"/>
    </row>
    <row r="22" spans="6:25" ht="106.5" customHeight="1" x14ac:dyDescent="0.25">
      <c r="F22">
        <v>20</v>
      </c>
      <c r="G22">
        <v>355000</v>
      </c>
      <c r="H22" s="79">
        <v>6</v>
      </c>
      <c r="K22" t="s">
        <v>279</v>
      </c>
      <c r="L22" s="6" t="s">
        <v>835</v>
      </c>
      <c r="N22" t="s">
        <v>274</v>
      </c>
      <c r="O22" s="6" t="s">
        <v>835</v>
      </c>
      <c r="P22">
        <v>1</v>
      </c>
      <c r="Q22" t="s">
        <v>220</v>
      </c>
      <c r="V22" s="5"/>
      <c r="X22" s="8"/>
    </row>
    <row r="23" spans="6:25" ht="181.5" customHeight="1" x14ac:dyDescent="0.25">
      <c r="K23" t="s">
        <v>281</v>
      </c>
      <c r="L23" s="6" t="s">
        <v>835</v>
      </c>
      <c r="N23" s="5" t="s">
        <v>790</v>
      </c>
      <c r="O23" s="6" t="s">
        <v>835</v>
      </c>
      <c r="P23" s="5">
        <v>1</v>
      </c>
      <c r="Q23" s="5" t="s">
        <v>159</v>
      </c>
      <c r="V23" s="5"/>
      <c r="X23" s="8"/>
    </row>
    <row r="24" spans="6:25" ht="31.5" customHeight="1" x14ac:dyDescent="0.25">
      <c r="N24" t="s">
        <v>276</v>
      </c>
      <c r="O24" s="6" t="s">
        <v>835</v>
      </c>
      <c r="P24">
        <v>1</v>
      </c>
      <c r="Q24" t="s">
        <v>220</v>
      </c>
      <c r="V24" s="5"/>
      <c r="X24" s="8"/>
    </row>
    <row r="25" spans="6:25" ht="31.5" customHeight="1" x14ac:dyDescent="0.25">
      <c r="N25" t="s">
        <v>278</v>
      </c>
      <c r="O25" s="6" t="s">
        <v>835</v>
      </c>
      <c r="P25">
        <v>1</v>
      </c>
      <c r="Q25" t="s">
        <v>159</v>
      </c>
      <c r="V25" s="5"/>
      <c r="X25" s="8"/>
    </row>
    <row r="26" spans="6:25" ht="16.5" customHeight="1" x14ac:dyDescent="0.25">
      <c r="N26" t="s">
        <v>280</v>
      </c>
      <c r="O26" s="6" t="s">
        <v>835</v>
      </c>
      <c r="P26">
        <v>1</v>
      </c>
      <c r="Q26" t="s">
        <v>159</v>
      </c>
      <c r="V26" s="5"/>
      <c r="X26" s="8"/>
    </row>
    <row r="27" spans="6:25" ht="46.5" customHeight="1" x14ac:dyDescent="0.25">
      <c r="N27" t="s">
        <v>282</v>
      </c>
      <c r="O27" s="6" t="s">
        <v>835</v>
      </c>
      <c r="P27">
        <v>1</v>
      </c>
      <c r="Q27" t="s">
        <v>220</v>
      </c>
      <c r="V27" s="5"/>
      <c r="X27" s="8"/>
    </row>
    <row r="28" spans="6:25" ht="46.5" customHeight="1" x14ac:dyDescent="0.25">
      <c r="N28" t="s">
        <v>283</v>
      </c>
      <c r="O28" s="6" t="s">
        <v>835</v>
      </c>
      <c r="P28">
        <v>2</v>
      </c>
      <c r="Q28" t="s">
        <v>159</v>
      </c>
      <c r="V28" s="5"/>
      <c r="X28" s="8"/>
    </row>
    <row r="29" spans="6:25" ht="46.5" customHeight="1" x14ac:dyDescent="0.25">
      <c r="N29" t="s">
        <v>284</v>
      </c>
      <c r="O29" s="6" t="s">
        <v>835</v>
      </c>
      <c r="P29">
        <v>1</v>
      </c>
      <c r="Q29" t="s">
        <v>159</v>
      </c>
      <c r="V29" s="5"/>
      <c r="X29" s="8"/>
    </row>
    <row r="30" spans="6:25" ht="16.5" customHeight="1" x14ac:dyDescent="0.25">
      <c r="N30" t="s">
        <v>285</v>
      </c>
      <c r="O30" s="6" t="s">
        <v>835</v>
      </c>
      <c r="P30">
        <v>1</v>
      </c>
      <c r="Q30" t="s">
        <v>159</v>
      </c>
      <c r="V30" s="5"/>
      <c r="X30" s="8"/>
    </row>
    <row r="31" spans="6:25" ht="16.5" customHeight="1" x14ac:dyDescent="0.25">
      <c r="N31" t="s">
        <v>286</v>
      </c>
      <c r="O31" s="6" t="s">
        <v>835</v>
      </c>
      <c r="P31">
        <v>1</v>
      </c>
      <c r="Q31" t="s">
        <v>159</v>
      </c>
      <c r="V31" s="5"/>
      <c r="X31" s="8"/>
    </row>
    <row r="32" spans="6:25" ht="16.5" customHeight="1" x14ac:dyDescent="0.25">
      <c r="N32" s="5" t="s">
        <v>788</v>
      </c>
      <c r="O32" s="6" t="s">
        <v>835</v>
      </c>
      <c r="P32" s="5">
        <v>1</v>
      </c>
      <c r="Q32" s="5" t="s">
        <v>327</v>
      </c>
      <c r="V32" s="5"/>
      <c r="X32" s="8"/>
    </row>
    <row r="33" spans="14:24" ht="16.5" customHeight="1" x14ac:dyDescent="0.25">
      <c r="N33" s="5" t="s">
        <v>328</v>
      </c>
      <c r="O33" s="6" t="s">
        <v>835</v>
      </c>
      <c r="P33" s="5">
        <v>1</v>
      </c>
      <c r="Q33" s="5" t="s">
        <v>327</v>
      </c>
      <c r="V33" s="5"/>
      <c r="X33" s="8"/>
    </row>
    <row r="34" spans="14:24" ht="76.5" customHeight="1" x14ac:dyDescent="0.25">
      <c r="N34" t="s">
        <v>287</v>
      </c>
      <c r="O34" s="6" t="s">
        <v>835</v>
      </c>
      <c r="P34">
        <v>1</v>
      </c>
      <c r="Q34" t="s">
        <v>159</v>
      </c>
      <c r="V34" s="5"/>
      <c r="X34" s="8"/>
    </row>
    <row r="35" spans="14:24" ht="16.5" customHeight="1" x14ac:dyDescent="0.25">
      <c r="N35" t="s">
        <v>288</v>
      </c>
      <c r="O35" s="6" t="s">
        <v>835</v>
      </c>
      <c r="P35">
        <v>1</v>
      </c>
      <c r="Q35" t="s">
        <v>159</v>
      </c>
      <c r="V35" s="5"/>
      <c r="X35" s="8"/>
    </row>
    <row r="36" spans="14:24" ht="16.5" customHeight="1" x14ac:dyDescent="0.25">
      <c r="N36" t="s">
        <v>289</v>
      </c>
      <c r="O36" s="6" t="s">
        <v>835</v>
      </c>
      <c r="P36">
        <v>1</v>
      </c>
      <c r="Q36" t="s">
        <v>159</v>
      </c>
      <c r="V36" s="5"/>
      <c r="X36" s="8"/>
    </row>
    <row r="37" spans="14:24" ht="16.5" customHeight="1" x14ac:dyDescent="0.25">
      <c r="N37" t="s">
        <v>290</v>
      </c>
      <c r="O37" s="6" t="s">
        <v>835</v>
      </c>
      <c r="P37">
        <v>1</v>
      </c>
      <c r="Q37" t="s">
        <v>159</v>
      </c>
      <c r="V37" s="5"/>
      <c r="X37" s="8"/>
    </row>
    <row r="38" spans="14:24" ht="121.5" customHeight="1" x14ac:dyDescent="0.25">
      <c r="N38" t="s">
        <v>291</v>
      </c>
      <c r="O38" s="6" t="s">
        <v>835</v>
      </c>
      <c r="P38">
        <v>1</v>
      </c>
      <c r="Q38" t="s">
        <v>159</v>
      </c>
      <c r="V38" s="5"/>
      <c r="X38" s="8"/>
    </row>
    <row r="39" spans="14:24" ht="16.5" customHeight="1" x14ac:dyDescent="0.25">
      <c r="N39" t="s">
        <v>292</v>
      </c>
      <c r="O39" s="6" t="s">
        <v>835</v>
      </c>
      <c r="P39">
        <v>1</v>
      </c>
      <c r="Q39" t="s">
        <v>159</v>
      </c>
      <c r="V39" s="5"/>
      <c r="X39" s="8"/>
    </row>
    <row r="40" spans="14:24" ht="106.5" customHeight="1" x14ac:dyDescent="0.25">
      <c r="N40" t="s">
        <v>293</v>
      </c>
      <c r="O40" s="6" t="s">
        <v>835</v>
      </c>
      <c r="P40">
        <v>1</v>
      </c>
      <c r="Q40" t="s">
        <v>159</v>
      </c>
      <c r="V40" s="5"/>
      <c r="X40" s="8"/>
    </row>
    <row r="41" spans="14:24" ht="46.5" customHeight="1" x14ac:dyDescent="0.25">
      <c r="N41" t="s">
        <v>294</v>
      </c>
      <c r="O41" s="6" t="s">
        <v>835</v>
      </c>
      <c r="P41">
        <v>1</v>
      </c>
      <c r="Q41" t="s">
        <v>159</v>
      </c>
      <c r="V41" s="5"/>
      <c r="X41" s="8"/>
    </row>
    <row r="42" spans="14:24" ht="241.5" customHeight="1" x14ac:dyDescent="0.25">
      <c r="N42" t="s">
        <v>295</v>
      </c>
      <c r="O42" s="6" t="s">
        <v>835</v>
      </c>
      <c r="P42">
        <v>1</v>
      </c>
      <c r="Q42" t="s">
        <v>220</v>
      </c>
      <c r="V42" s="5"/>
      <c r="X42" s="8"/>
    </row>
    <row r="43" spans="14:24" x14ac:dyDescent="0.25">
      <c r="N43" t="s">
        <v>296</v>
      </c>
      <c r="O43" s="6" t="s">
        <v>835</v>
      </c>
      <c r="P43">
        <v>1</v>
      </c>
      <c r="Q43" t="s">
        <v>220</v>
      </c>
      <c r="V43" s="5"/>
      <c r="X43" s="8"/>
    </row>
    <row r="44" spans="14:24" ht="16.5" customHeight="1" x14ac:dyDescent="0.25">
      <c r="N44" t="s">
        <v>297</v>
      </c>
      <c r="O44" s="6" t="s">
        <v>835</v>
      </c>
      <c r="P44">
        <v>1</v>
      </c>
      <c r="Q44" t="s">
        <v>159</v>
      </c>
      <c r="V44" s="5"/>
      <c r="X44" s="8"/>
    </row>
    <row r="45" spans="14:24" x14ac:dyDescent="0.25">
      <c r="N45" t="s">
        <v>298</v>
      </c>
      <c r="O45" s="6" t="s">
        <v>835</v>
      </c>
      <c r="P45">
        <v>1</v>
      </c>
      <c r="Q45" t="s">
        <v>159</v>
      </c>
      <c r="V45" s="5"/>
      <c r="X45" s="8"/>
    </row>
    <row r="46" spans="14:24" x14ac:dyDescent="0.25">
      <c r="N46" t="s">
        <v>299</v>
      </c>
      <c r="O46" s="6" t="s">
        <v>835</v>
      </c>
      <c r="P46">
        <v>1</v>
      </c>
      <c r="Q46" t="s">
        <v>159</v>
      </c>
      <c r="V46" s="5"/>
      <c r="X46" s="8"/>
    </row>
    <row r="47" spans="14:24" x14ac:dyDescent="0.25">
      <c r="N47" t="s">
        <v>300</v>
      </c>
      <c r="O47" s="6" t="s">
        <v>835</v>
      </c>
      <c r="P47">
        <v>1</v>
      </c>
      <c r="Q47" t="s">
        <v>220</v>
      </c>
      <c r="V47" s="5"/>
      <c r="X47" s="8"/>
    </row>
    <row r="48" spans="14:24" x14ac:dyDescent="0.25">
      <c r="N48" t="s">
        <v>301</v>
      </c>
      <c r="O48" s="6" t="s">
        <v>835</v>
      </c>
      <c r="P48">
        <v>2</v>
      </c>
      <c r="Q48" t="s">
        <v>159</v>
      </c>
      <c r="V48" s="5"/>
      <c r="X48" s="8"/>
    </row>
    <row r="49" spans="14:24" x14ac:dyDescent="0.25">
      <c r="N49" s="5" t="s">
        <v>791</v>
      </c>
      <c r="O49" s="6" t="s">
        <v>835</v>
      </c>
      <c r="P49" s="5">
        <v>1</v>
      </c>
      <c r="Q49" s="5" t="s">
        <v>159</v>
      </c>
      <c r="V49" s="5"/>
      <c r="X49" s="8"/>
    </row>
    <row r="50" spans="14:24" x14ac:dyDescent="0.25">
      <c r="N50" t="s">
        <v>302</v>
      </c>
      <c r="O50" s="6" t="s">
        <v>835</v>
      </c>
      <c r="P50">
        <v>1</v>
      </c>
      <c r="Q50" t="s">
        <v>159</v>
      </c>
      <c r="V50" s="5"/>
      <c r="X50" s="8"/>
    </row>
    <row r="51" spans="14:24" x14ac:dyDescent="0.25">
      <c r="N51" t="s">
        <v>303</v>
      </c>
      <c r="O51" s="6" t="s">
        <v>835</v>
      </c>
      <c r="P51">
        <v>1</v>
      </c>
      <c r="Q51" t="s">
        <v>159</v>
      </c>
      <c r="V51" s="5"/>
      <c r="X51" s="8"/>
    </row>
    <row r="52" spans="14:24" x14ac:dyDescent="0.25">
      <c r="N52" t="s">
        <v>304</v>
      </c>
      <c r="O52" s="6" t="s">
        <v>835</v>
      </c>
      <c r="P52">
        <v>2</v>
      </c>
      <c r="Q52" t="s">
        <v>159</v>
      </c>
      <c r="V52" s="5"/>
      <c r="X52" s="8"/>
    </row>
    <row r="53" spans="14:24" x14ac:dyDescent="0.25">
      <c r="N53" t="s">
        <v>305</v>
      </c>
      <c r="O53" s="6" t="s">
        <v>835</v>
      </c>
      <c r="P53">
        <v>1</v>
      </c>
      <c r="Q53" t="s">
        <v>159</v>
      </c>
      <c r="V53" s="5"/>
      <c r="X53" s="8"/>
    </row>
    <row r="54" spans="14:24" x14ac:dyDescent="0.25">
      <c r="N54" t="s">
        <v>306</v>
      </c>
      <c r="O54" s="6" t="s">
        <v>835</v>
      </c>
      <c r="P54">
        <v>1</v>
      </c>
      <c r="Q54" t="s">
        <v>159</v>
      </c>
      <c r="V54" s="5"/>
      <c r="X54" s="8"/>
    </row>
    <row r="55" spans="14:24" x14ac:dyDescent="0.25">
      <c r="N55" t="s">
        <v>307</v>
      </c>
      <c r="O55" s="6" t="s">
        <v>835</v>
      </c>
      <c r="P55">
        <v>1</v>
      </c>
      <c r="Q55" t="s">
        <v>159</v>
      </c>
      <c r="V55" s="5"/>
      <c r="X55" s="8"/>
    </row>
    <row r="56" spans="14:24" x14ac:dyDescent="0.25">
      <c r="N56" s="5" t="s">
        <v>329</v>
      </c>
      <c r="O56" s="6" t="s">
        <v>835</v>
      </c>
      <c r="P56" s="5">
        <v>1</v>
      </c>
      <c r="Q56" s="5" t="s">
        <v>327</v>
      </c>
      <c r="V56" s="5"/>
      <c r="X56" s="8"/>
    </row>
    <row r="57" spans="14:24" x14ac:dyDescent="0.25">
      <c r="N57" t="s">
        <v>308</v>
      </c>
      <c r="O57" s="6" t="s">
        <v>835</v>
      </c>
      <c r="P57">
        <v>1</v>
      </c>
      <c r="Q57" t="s">
        <v>220</v>
      </c>
      <c r="V57" s="5"/>
      <c r="X57" s="8"/>
    </row>
    <row r="58" spans="14:24" x14ac:dyDescent="0.25">
      <c r="N58" t="s">
        <v>309</v>
      </c>
      <c r="O58" s="6" t="s">
        <v>835</v>
      </c>
      <c r="P58">
        <v>1</v>
      </c>
      <c r="Q58" t="s">
        <v>159</v>
      </c>
      <c r="V58" s="5"/>
      <c r="X58" s="8"/>
    </row>
    <row r="59" spans="14:24" x14ac:dyDescent="0.25">
      <c r="N59" t="s">
        <v>310</v>
      </c>
      <c r="O59" s="6" t="s">
        <v>835</v>
      </c>
      <c r="P59">
        <v>1</v>
      </c>
      <c r="Q59" t="s">
        <v>159</v>
      </c>
      <c r="V59" s="5"/>
      <c r="X59" s="8"/>
    </row>
    <row r="60" spans="14:24" x14ac:dyDescent="0.25">
      <c r="N60" t="s">
        <v>311</v>
      </c>
      <c r="O60" s="6" t="s">
        <v>835</v>
      </c>
      <c r="P60">
        <v>1</v>
      </c>
      <c r="Q60" t="s">
        <v>159</v>
      </c>
      <c r="V60" s="5"/>
      <c r="X60" s="8"/>
    </row>
    <row r="61" spans="14:24" x14ac:dyDescent="0.25">
      <c r="N61" t="s">
        <v>312</v>
      </c>
      <c r="O61" s="6" t="s">
        <v>835</v>
      </c>
      <c r="P61">
        <v>1</v>
      </c>
      <c r="Q61" t="s">
        <v>159</v>
      </c>
      <c r="V61" s="5"/>
      <c r="W61" s="8"/>
    </row>
    <row r="62" spans="14:24" x14ac:dyDescent="0.25">
      <c r="N62" t="s">
        <v>313</v>
      </c>
      <c r="O62" s="6" t="s">
        <v>835</v>
      </c>
      <c r="P62">
        <v>1</v>
      </c>
      <c r="Q62" t="s">
        <v>220</v>
      </c>
      <c r="V62" s="5"/>
      <c r="W62" s="8"/>
    </row>
    <row r="63" spans="14:24" x14ac:dyDescent="0.25">
      <c r="N63" t="s">
        <v>314</v>
      </c>
      <c r="O63" s="6" t="s">
        <v>835</v>
      </c>
      <c r="P63">
        <v>1</v>
      </c>
      <c r="Q63" t="s">
        <v>159</v>
      </c>
      <c r="V63" s="5"/>
      <c r="W63" s="8"/>
    </row>
    <row r="64" spans="14:24" x14ac:dyDescent="0.25">
      <c r="N64" t="s">
        <v>315</v>
      </c>
      <c r="O64" s="6" t="s">
        <v>835</v>
      </c>
      <c r="P64">
        <v>1</v>
      </c>
      <c r="Q64" t="s">
        <v>159</v>
      </c>
      <c r="V64" s="5"/>
      <c r="W64" s="8"/>
    </row>
    <row r="65" spans="14:23" x14ac:dyDescent="0.25">
      <c r="N65" t="s">
        <v>316</v>
      </c>
      <c r="O65" s="6" t="s">
        <v>835</v>
      </c>
      <c r="P65">
        <v>1</v>
      </c>
      <c r="Q65" t="s">
        <v>159</v>
      </c>
      <c r="V65" s="5"/>
      <c r="W65" s="8"/>
    </row>
    <row r="66" spans="14:23" x14ac:dyDescent="0.25">
      <c r="N66" t="s">
        <v>317</v>
      </c>
      <c r="O66" s="6" t="s">
        <v>835</v>
      </c>
      <c r="P66">
        <v>1</v>
      </c>
      <c r="Q66" t="s">
        <v>159</v>
      </c>
      <c r="V66" s="5"/>
      <c r="W66" s="8"/>
    </row>
    <row r="67" spans="14:23" x14ac:dyDescent="0.25">
      <c r="N67" t="s">
        <v>318</v>
      </c>
      <c r="O67" s="6" t="s">
        <v>835</v>
      </c>
      <c r="P67">
        <v>1</v>
      </c>
      <c r="Q67" t="s">
        <v>159</v>
      </c>
    </row>
    <row r="68" spans="14:23" x14ac:dyDescent="0.25">
      <c r="N68" t="s">
        <v>319</v>
      </c>
      <c r="O68" s="6" t="s">
        <v>835</v>
      </c>
      <c r="P68">
        <v>1</v>
      </c>
      <c r="Q68" t="s">
        <v>159</v>
      </c>
    </row>
    <row r="69" spans="14:23" x14ac:dyDescent="0.25">
      <c r="N69" t="s">
        <v>320</v>
      </c>
      <c r="O69" s="6" t="s">
        <v>835</v>
      </c>
      <c r="P69">
        <v>1</v>
      </c>
      <c r="Q69" t="s">
        <v>159</v>
      </c>
    </row>
    <row r="70" spans="14:23" x14ac:dyDescent="0.25">
      <c r="N70" t="s">
        <v>321</v>
      </c>
      <c r="O70" s="6" t="s">
        <v>835</v>
      </c>
      <c r="P70">
        <v>1</v>
      </c>
      <c r="Q70" t="s">
        <v>159</v>
      </c>
    </row>
    <row r="71" spans="14:23" x14ac:dyDescent="0.25">
      <c r="N71" t="s">
        <v>322</v>
      </c>
      <c r="O71" s="6" t="s">
        <v>835</v>
      </c>
      <c r="P71">
        <v>1</v>
      </c>
      <c r="Q71" t="s">
        <v>159</v>
      </c>
    </row>
    <row r="72" spans="14:23" x14ac:dyDescent="0.25">
      <c r="N72" t="s">
        <v>323</v>
      </c>
      <c r="O72" s="6" t="s">
        <v>835</v>
      </c>
      <c r="P72">
        <v>1</v>
      </c>
      <c r="Q72" t="s">
        <v>159</v>
      </c>
    </row>
    <row r="73" spans="14:23" x14ac:dyDescent="0.25">
      <c r="N73" t="s">
        <v>324</v>
      </c>
      <c r="O73" s="6" t="s">
        <v>835</v>
      </c>
      <c r="P73">
        <v>1</v>
      </c>
      <c r="Q73" t="s">
        <v>159</v>
      </c>
    </row>
    <row r="74" spans="14:23" x14ac:dyDescent="0.25">
      <c r="N74" t="s">
        <v>325</v>
      </c>
      <c r="O74" s="6" t="s">
        <v>835</v>
      </c>
      <c r="P74">
        <v>1</v>
      </c>
      <c r="Q74" t="s">
        <v>159</v>
      </c>
    </row>
  </sheetData>
  <mergeCells count="5">
    <mergeCell ref="A1:C1"/>
    <mergeCell ref="F1:H1"/>
    <mergeCell ref="K1:L1"/>
    <mergeCell ref="U1:Y1"/>
    <mergeCell ref="N1:Q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HideCharacterLists">
                <anchor moveWithCells="1" sizeWithCells="1">
                  <from>
                    <xdr:col>0</xdr:col>
                    <xdr:colOff>0</xdr:colOff>
                    <xdr:row>0</xdr:row>
                    <xdr:rowOff>0</xdr:rowOff>
                  </from>
                  <to>
                    <xdr:col>0</xdr:col>
                    <xdr:colOff>1371600</xdr:colOff>
                    <xdr:row>0</xdr:row>
                    <xdr:rowOff>171450</xdr:rowOff>
                  </to>
                </anchor>
              </controlPr>
            </control>
          </mc:Choice>
        </mc:AlternateContent>
      </controls>
    </mc:Choice>
  </mc:AlternateContent>
  <tableParts count="6">
    <tablePart r:id="rId5"/>
    <tablePart r:id="rId6"/>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5A362F"/>
    <pageSetUpPr autoPageBreaks="0"/>
  </sheetPr>
  <dimension ref="A1:CZ67"/>
  <sheetViews>
    <sheetView showGridLines="0" showRowColHeaders="0" tabSelected="1" zoomScaleNormal="100" workbookViewId="0">
      <selection activeCell="DG31" sqref="DG31"/>
    </sheetView>
  </sheetViews>
  <sheetFormatPr defaultColWidth="2.28515625" defaultRowHeight="12" customHeight="1" x14ac:dyDescent="0.25"/>
  <cols>
    <col min="1" max="1" width="2.28515625" style="36" customWidth="1"/>
    <col min="2" max="36" width="2.28515625" style="36"/>
    <col min="37" max="99" width="2.28515625" style="36" customWidth="1"/>
    <col min="100" max="16384" width="2.28515625" style="36"/>
  </cols>
  <sheetData>
    <row r="1" spans="1:104" ht="12" customHeight="1" x14ac:dyDescent="0.25">
      <c r="A1" s="166"/>
      <c r="B1" s="167"/>
      <c r="C1" s="167"/>
      <c r="D1" s="167"/>
      <c r="E1" s="167"/>
      <c r="F1" s="167"/>
      <c r="G1" s="167"/>
      <c r="H1" s="167"/>
      <c r="I1" s="167"/>
      <c r="J1" s="167"/>
      <c r="K1" s="167"/>
      <c r="L1" s="167"/>
      <c r="M1" s="167"/>
      <c r="N1" s="167"/>
      <c r="O1" s="167"/>
      <c r="P1" s="167"/>
      <c r="Q1" s="167"/>
      <c r="R1" s="168"/>
      <c r="S1" s="175" t="s">
        <v>330</v>
      </c>
      <c r="T1" s="176"/>
      <c r="U1" s="176"/>
      <c r="V1" s="176"/>
      <c r="W1" s="176"/>
      <c r="X1" s="176"/>
      <c r="Y1" s="176"/>
      <c r="Z1" s="176"/>
      <c r="AA1" s="177"/>
      <c r="AB1" s="187"/>
      <c r="AC1" s="188"/>
      <c r="AD1" s="188"/>
      <c r="AE1" s="188"/>
      <c r="AF1" s="188"/>
      <c r="AG1" s="188"/>
      <c r="AH1" s="188"/>
      <c r="AI1" s="188"/>
      <c r="AJ1" s="189"/>
      <c r="AK1" s="52"/>
      <c r="AL1" s="52"/>
      <c r="AM1" s="52"/>
      <c r="AN1" s="52"/>
      <c r="AO1" s="52"/>
      <c r="AP1" s="52"/>
      <c r="AQ1" s="52"/>
      <c r="AR1" s="48"/>
      <c r="AS1" s="48"/>
      <c r="AT1" s="47"/>
      <c r="AU1" s="48"/>
      <c r="AV1" s="48"/>
      <c r="AW1" s="48"/>
      <c r="AX1" s="48"/>
      <c r="AY1" s="48"/>
      <c r="AZ1" s="48"/>
      <c r="BA1" s="48"/>
      <c r="BB1" s="48"/>
      <c r="BC1" s="48"/>
      <c r="BD1" s="48"/>
      <c r="BE1" s="48"/>
      <c r="BF1" s="48"/>
      <c r="BG1" s="48"/>
      <c r="BH1" s="48"/>
      <c r="BI1" s="48"/>
      <c r="BJ1" s="48"/>
      <c r="BK1" s="48"/>
      <c r="BL1" s="48"/>
      <c r="BM1" s="48"/>
      <c r="BN1" s="48"/>
      <c r="BO1" s="48"/>
      <c r="BP1" s="48"/>
      <c r="BQ1" s="48"/>
      <c r="BR1" s="48"/>
      <c r="BS1" s="48"/>
      <c r="BT1" s="48"/>
      <c r="BU1" s="47"/>
      <c r="BV1" s="48"/>
      <c r="BW1" s="48"/>
      <c r="BX1" s="48"/>
      <c r="BY1" s="48"/>
      <c r="BZ1" s="48"/>
      <c r="CA1" s="48"/>
      <c r="CB1" s="48"/>
      <c r="CC1" s="48"/>
      <c r="CD1" s="48"/>
      <c r="CE1" s="48"/>
      <c r="CF1" s="48"/>
      <c r="CG1" s="48"/>
      <c r="CH1" s="48"/>
      <c r="CI1" s="48"/>
      <c r="CJ1" s="48"/>
      <c r="CK1" s="48"/>
      <c r="CL1" s="48"/>
      <c r="CM1" s="48"/>
      <c r="CN1" s="48"/>
      <c r="CO1" s="48"/>
      <c r="CP1" s="48"/>
      <c r="CQ1" s="48"/>
      <c r="CR1" s="48"/>
      <c r="CS1" s="48"/>
      <c r="CT1" s="48"/>
      <c r="CU1" s="49"/>
    </row>
    <row r="2" spans="1:104" ht="12" customHeight="1" thickBot="1" x14ac:dyDescent="0.3">
      <c r="A2" s="169"/>
      <c r="B2" s="170"/>
      <c r="C2" s="170"/>
      <c r="D2" s="170"/>
      <c r="E2" s="170"/>
      <c r="F2" s="170"/>
      <c r="G2" s="170"/>
      <c r="H2" s="170"/>
      <c r="I2" s="170"/>
      <c r="J2" s="170"/>
      <c r="K2" s="170"/>
      <c r="L2" s="170"/>
      <c r="M2" s="170"/>
      <c r="N2" s="170"/>
      <c r="O2" s="170"/>
      <c r="P2" s="170"/>
      <c r="Q2" s="170"/>
      <c r="R2" s="171"/>
      <c r="S2" s="178"/>
      <c r="T2" s="179"/>
      <c r="U2" s="179"/>
      <c r="V2" s="179"/>
      <c r="W2" s="179"/>
      <c r="X2" s="179"/>
      <c r="Y2" s="179"/>
      <c r="Z2" s="179"/>
      <c r="AA2" s="180"/>
      <c r="AB2" s="184"/>
      <c r="AC2" s="185"/>
      <c r="AD2" s="185"/>
      <c r="AE2" s="185"/>
      <c r="AF2" s="185"/>
      <c r="AG2" s="185"/>
      <c r="AH2" s="185"/>
      <c r="AI2" s="185"/>
      <c r="AJ2" s="186"/>
      <c r="AK2" s="53"/>
      <c r="AL2" s="53"/>
      <c r="AM2" s="53"/>
      <c r="AN2" s="53"/>
      <c r="AO2" s="53"/>
      <c r="AP2" s="53"/>
      <c r="AQ2" s="53"/>
      <c r="AR2" s="5"/>
      <c r="AS2" s="5"/>
      <c r="AT2" s="14"/>
      <c r="AU2" s="5"/>
      <c r="AV2" s="5"/>
      <c r="AW2" s="5"/>
      <c r="AX2" s="5"/>
      <c r="AY2" s="5"/>
      <c r="AZ2" s="5"/>
      <c r="BA2" s="5"/>
      <c r="BB2" s="5"/>
      <c r="BC2" s="5"/>
      <c r="BD2" s="5"/>
      <c r="BE2" s="5"/>
      <c r="BF2" s="5"/>
      <c r="BG2" s="5"/>
      <c r="BH2" s="5"/>
      <c r="BI2" s="5"/>
      <c r="BJ2" s="5"/>
      <c r="BK2" s="5"/>
      <c r="BL2" s="5"/>
      <c r="BM2" s="5"/>
      <c r="BN2" s="5"/>
      <c r="BO2" s="5"/>
      <c r="BP2" s="5"/>
      <c r="BQ2" s="5"/>
      <c r="BR2" s="5"/>
      <c r="BS2" s="5"/>
      <c r="BT2" s="5"/>
      <c r="BU2" s="14"/>
      <c r="BV2" s="5"/>
      <c r="BW2" s="5"/>
      <c r="BX2" s="5"/>
      <c r="BY2" s="5"/>
      <c r="BZ2" s="5"/>
      <c r="CA2" s="5"/>
      <c r="CB2" s="5"/>
      <c r="CC2" s="5"/>
      <c r="CD2" s="5"/>
      <c r="CE2" s="5"/>
      <c r="CF2" s="5"/>
      <c r="CG2" s="5"/>
      <c r="CH2" s="5"/>
      <c r="CI2" s="5"/>
      <c r="CJ2" s="5"/>
      <c r="CK2" s="5"/>
      <c r="CL2" s="5"/>
      <c r="CM2" s="5"/>
      <c r="CN2" s="5"/>
      <c r="CO2" s="5"/>
      <c r="CP2" s="5"/>
      <c r="CQ2" s="5"/>
      <c r="CR2" s="5"/>
      <c r="CS2" s="5"/>
      <c r="CT2" s="5"/>
      <c r="CU2" s="50"/>
    </row>
    <row r="3" spans="1:104" ht="12" customHeight="1" x14ac:dyDescent="0.25">
      <c r="A3" s="169"/>
      <c r="B3" s="170"/>
      <c r="C3" s="170"/>
      <c r="D3" s="170"/>
      <c r="E3" s="170"/>
      <c r="F3" s="170"/>
      <c r="G3" s="170"/>
      <c r="H3" s="170"/>
      <c r="I3" s="170"/>
      <c r="J3" s="170"/>
      <c r="K3" s="170"/>
      <c r="L3" s="170"/>
      <c r="M3" s="170"/>
      <c r="N3" s="170"/>
      <c r="O3" s="170"/>
      <c r="P3" s="170"/>
      <c r="Q3" s="170"/>
      <c r="R3" s="171"/>
      <c r="S3" s="175" t="s">
        <v>331</v>
      </c>
      <c r="T3" s="176"/>
      <c r="U3" s="176"/>
      <c r="V3" s="176"/>
      <c r="W3" s="176"/>
      <c r="X3" s="176"/>
      <c r="Y3" s="176"/>
      <c r="Z3" s="176"/>
      <c r="AA3" s="177"/>
      <c r="AB3" s="181"/>
      <c r="AC3" s="182"/>
      <c r="AD3" s="182"/>
      <c r="AE3" s="182"/>
      <c r="AF3" s="182"/>
      <c r="AG3" s="182"/>
      <c r="AH3" s="182"/>
      <c r="AI3" s="182"/>
      <c r="AJ3" s="183"/>
      <c r="AK3" s="53"/>
      <c r="AL3" s="53"/>
      <c r="AM3" s="53"/>
      <c r="AN3" s="53"/>
      <c r="AO3" s="53"/>
      <c r="AP3" s="53"/>
      <c r="AQ3" s="53"/>
      <c r="AR3" s="5"/>
      <c r="AS3" s="5"/>
      <c r="AT3" s="14"/>
      <c r="AU3" s="5"/>
      <c r="AV3" s="5"/>
      <c r="AW3" s="5"/>
      <c r="AX3" s="5"/>
      <c r="AY3" s="5"/>
      <c r="AZ3" s="5"/>
      <c r="BA3" s="5"/>
      <c r="BB3" s="5"/>
      <c r="BC3" s="5"/>
      <c r="BD3" s="5"/>
      <c r="BE3" s="5"/>
      <c r="BF3" s="5"/>
      <c r="BG3" s="5"/>
      <c r="BH3" s="5"/>
      <c r="BI3" s="5"/>
      <c r="BJ3" s="5"/>
      <c r="BK3" s="5"/>
      <c r="BL3" s="5"/>
      <c r="BM3" s="5"/>
      <c r="BN3" s="5"/>
      <c r="BO3" s="5"/>
      <c r="BP3" s="5"/>
      <c r="BQ3" s="5"/>
      <c r="BR3" s="5"/>
      <c r="BS3" s="5"/>
      <c r="BT3" s="5"/>
      <c r="BU3" s="14"/>
      <c r="BV3" s="5"/>
      <c r="BW3" s="5"/>
      <c r="BX3" s="5"/>
      <c r="BY3" s="5"/>
      <c r="BZ3" s="5"/>
      <c r="CA3" s="5"/>
      <c r="CB3" s="5"/>
      <c r="CC3" s="5"/>
      <c r="CD3" s="5"/>
      <c r="CE3" s="5"/>
      <c r="CF3" s="5"/>
      <c r="CG3" s="5"/>
      <c r="CH3" s="5"/>
      <c r="CI3" s="5"/>
      <c r="CJ3" s="5"/>
      <c r="CK3" s="5"/>
      <c r="CL3" s="5"/>
      <c r="CM3" s="5"/>
      <c r="CN3" s="5"/>
      <c r="CO3" s="5"/>
      <c r="CP3" s="5"/>
      <c r="CQ3" s="5"/>
      <c r="CR3" s="5"/>
      <c r="CS3" s="5"/>
      <c r="CT3" s="5"/>
      <c r="CU3" s="50"/>
    </row>
    <row r="4" spans="1:104" ht="12" customHeight="1" thickBot="1" x14ac:dyDescent="0.3">
      <c r="A4" s="169"/>
      <c r="B4" s="170"/>
      <c r="C4" s="170"/>
      <c r="D4" s="170"/>
      <c r="E4" s="170"/>
      <c r="F4" s="170"/>
      <c r="G4" s="170"/>
      <c r="H4" s="170"/>
      <c r="I4" s="170"/>
      <c r="J4" s="170"/>
      <c r="K4" s="170"/>
      <c r="L4" s="170"/>
      <c r="M4" s="170"/>
      <c r="N4" s="170"/>
      <c r="O4" s="170"/>
      <c r="P4" s="170"/>
      <c r="Q4" s="170"/>
      <c r="R4" s="171"/>
      <c r="S4" s="178"/>
      <c r="T4" s="179"/>
      <c r="U4" s="179"/>
      <c r="V4" s="179"/>
      <c r="W4" s="179"/>
      <c r="X4" s="179"/>
      <c r="Y4" s="179"/>
      <c r="Z4" s="179"/>
      <c r="AA4" s="180"/>
      <c r="AB4" s="184"/>
      <c r="AC4" s="185"/>
      <c r="AD4" s="185"/>
      <c r="AE4" s="185"/>
      <c r="AF4" s="185"/>
      <c r="AG4" s="185"/>
      <c r="AH4" s="185"/>
      <c r="AI4" s="185"/>
      <c r="AJ4" s="186"/>
      <c r="AK4" s="53"/>
      <c r="AL4" s="53"/>
      <c r="AM4" s="53"/>
      <c r="AN4" s="53"/>
      <c r="AO4" s="53"/>
      <c r="AP4" s="53"/>
      <c r="AQ4" s="53"/>
      <c r="AR4" s="5"/>
      <c r="AS4" s="5"/>
      <c r="AT4" s="14"/>
      <c r="AU4" s="5"/>
      <c r="AV4" s="5"/>
      <c r="AW4" s="5"/>
      <c r="AX4" s="5"/>
      <c r="AY4" s="5"/>
      <c r="AZ4" s="5"/>
      <c r="BA4" s="5"/>
      <c r="BB4" s="5"/>
      <c r="BC4" s="5"/>
      <c r="BD4" s="5"/>
      <c r="BE4" s="5"/>
      <c r="BF4" s="5"/>
      <c r="BG4" s="5"/>
      <c r="BH4" s="5"/>
      <c r="BI4" s="5"/>
      <c r="BJ4" s="5"/>
      <c r="BK4" s="5"/>
      <c r="BL4" s="5"/>
      <c r="BM4" s="5"/>
      <c r="BN4" s="5"/>
      <c r="BO4" s="5"/>
      <c r="BP4" s="5"/>
      <c r="BQ4" s="5"/>
      <c r="BR4" s="5"/>
      <c r="BS4" s="5"/>
      <c r="BT4" s="5"/>
      <c r="BU4" s="14"/>
      <c r="BV4" s="5"/>
      <c r="BW4" s="5"/>
      <c r="BX4" s="5"/>
      <c r="BY4" s="5"/>
      <c r="BZ4" s="5"/>
      <c r="CA4" s="5"/>
      <c r="CB4" s="5"/>
      <c r="CC4" s="5"/>
      <c r="CD4" s="5"/>
      <c r="CE4" s="5"/>
      <c r="CF4" s="5"/>
      <c r="CG4" s="5"/>
      <c r="CH4" s="5"/>
      <c r="CI4" s="5"/>
      <c r="CJ4" s="5"/>
      <c r="CK4" s="5"/>
      <c r="CL4" s="5"/>
      <c r="CM4" s="5"/>
      <c r="CN4" s="5"/>
      <c r="CO4" s="5"/>
      <c r="CP4" s="5"/>
      <c r="CQ4" s="5"/>
      <c r="CR4" s="5"/>
      <c r="CS4" s="5"/>
      <c r="CT4" s="5"/>
      <c r="CU4" s="50"/>
    </row>
    <row r="5" spans="1:104" ht="12" customHeight="1" x14ac:dyDescent="0.25">
      <c r="A5" s="169"/>
      <c r="B5" s="170"/>
      <c r="C5" s="170"/>
      <c r="D5" s="170"/>
      <c r="E5" s="170"/>
      <c r="F5" s="170"/>
      <c r="G5" s="170"/>
      <c r="H5" s="170"/>
      <c r="I5" s="170"/>
      <c r="J5" s="170"/>
      <c r="K5" s="170"/>
      <c r="L5" s="170"/>
      <c r="M5" s="170"/>
      <c r="N5" s="170"/>
      <c r="O5" s="170"/>
      <c r="P5" s="170"/>
      <c r="Q5" s="170"/>
      <c r="R5" s="171"/>
      <c r="S5" s="175" t="s">
        <v>332</v>
      </c>
      <c r="T5" s="176"/>
      <c r="U5" s="176"/>
      <c r="V5" s="176"/>
      <c r="W5" s="176"/>
      <c r="X5" s="176"/>
      <c r="Y5" s="176"/>
      <c r="Z5" s="176"/>
      <c r="AA5" s="177"/>
      <c r="AB5" s="181"/>
      <c r="AC5" s="182"/>
      <c r="AD5" s="182"/>
      <c r="AE5" s="182"/>
      <c r="AF5" s="182"/>
      <c r="AG5" s="182"/>
      <c r="AH5" s="182"/>
      <c r="AI5" s="182"/>
      <c r="AJ5" s="183"/>
      <c r="AK5" s="53"/>
      <c r="AL5" s="53"/>
      <c r="AM5" s="53"/>
      <c r="AN5" s="53"/>
      <c r="AO5" s="53"/>
      <c r="AP5" s="53"/>
      <c r="AQ5" s="53"/>
      <c r="AR5" s="5"/>
      <c r="AS5" s="5"/>
      <c r="AT5" s="14"/>
      <c r="AU5" s="5"/>
      <c r="AV5" s="5"/>
      <c r="AW5" s="5"/>
      <c r="AX5" s="5"/>
      <c r="AY5" s="5"/>
      <c r="AZ5" s="5"/>
      <c r="BA5" s="5"/>
      <c r="BB5" s="5"/>
      <c r="BC5" s="5"/>
      <c r="BD5" s="5"/>
      <c r="BE5" s="5"/>
      <c r="BF5" s="5"/>
      <c r="BG5" s="5"/>
      <c r="BH5" s="5"/>
      <c r="BI5" s="5"/>
      <c r="BJ5" s="5"/>
      <c r="BK5" s="5"/>
      <c r="BL5" s="5"/>
      <c r="BM5" s="5"/>
      <c r="BN5" s="5"/>
      <c r="BO5" s="5"/>
      <c r="BP5" s="5"/>
      <c r="BQ5" s="5"/>
      <c r="BR5" s="5"/>
      <c r="BS5" s="5"/>
      <c r="BT5" s="5"/>
      <c r="BU5" s="14"/>
      <c r="BV5" s="5"/>
      <c r="BW5" s="5"/>
      <c r="BX5" s="5"/>
      <c r="BY5" s="5"/>
      <c r="BZ5" s="5"/>
      <c r="CA5" s="5"/>
      <c r="CB5" s="5"/>
      <c r="CC5" s="5"/>
      <c r="CD5" s="5"/>
      <c r="CE5" s="5"/>
      <c r="CF5" s="5"/>
      <c r="CG5" s="5"/>
      <c r="CH5" s="5"/>
      <c r="CI5" s="5"/>
      <c r="CJ5" s="5"/>
      <c r="CK5" s="5"/>
      <c r="CL5" s="5"/>
      <c r="CM5" s="5"/>
      <c r="CN5" s="5"/>
      <c r="CO5" s="5"/>
      <c r="CP5" s="5"/>
      <c r="CQ5" s="5"/>
      <c r="CR5" s="5"/>
      <c r="CS5" s="5"/>
      <c r="CT5" s="5"/>
      <c r="CU5" s="50"/>
    </row>
    <row r="6" spans="1:104" ht="12" customHeight="1" thickBot="1" x14ac:dyDescent="0.3">
      <c r="A6" s="169"/>
      <c r="B6" s="170"/>
      <c r="C6" s="170"/>
      <c r="D6" s="170"/>
      <c r="E6" s="170"/>
      <c r="F6" s="170"/>
      <c r="G6" s="170"/>
      <c r="H6" s="170"/>
      <c r="I6" s="170"/>
      <c r="J6" s="170"/>
      <c r="K6" s="170"/>
      <c r="L6" s="170"/>
      <c r="M6" s="170"/>
      <c r="N6" s="170"/>
      <c r="O6" s="170"/>
      <c r="P6" s="170"/>
      <c r="Q6" s="170"/>
      <c r="R6" s="171"/>
      <c r="S6" s="178"/>
      <c r="T6" s="179"/>
      <c r="U6" s="179"/>
      <c r="V6" s="179"/>
      <c r="W6" s="179"/>
      <c r="X6" s="179"/>
      <c r="Y6" s="179"/>
      <c r="Z6" s="179"/>
      <c r="AA6" s="180"/>
      <c r="AB6" s="184"/>
      <c r="AC6" s="185"/>
      <c r="AD6" s="185"/>
      <c r="AE6" s="185"/>
      <c r="AF6" s="185"/>
      <c r="AG6" s="185"/>
      <c r="AH6" s="185"/>
      <c r="AI6" s="185"/>
      <c r="AJ6" s="186"/>
      <c r="AK6" s="53"/>
      <c r="AL6" s="53"/>
      <c r="AM6" s="53"/>
      <c r="AN6" s="53"/>
      <c r="AO6" s="53"/>
      <c r="AP6" s="53"/>
      <c r="AQ6" s="53"/>
      <c r="AR6" s="5"/>
      <c r="AS6" s="5"/>
      <c r="AT6" s="14"/>
      <c r="AU6" s="5"/>
      <c r="AV6" s="5"/>
      <c r="AW6" s="5"/>
      <c r="AX6" s="5"/>
      <c r="AY6" s="5"/>
      <c r="AZ6" s="5"/>
      <c r="BA6" s="5"/>
      <c r="BB6" s="5"/>
      <c r="BC6" s="5"/>
      <c r="BD6" s="5"/>
      <c r="BE6" s="5"/>
      <c r="BF6" s="5"/>
      <c r="BG6" s="5"/>
      <c r="BH6" s="5"/>
      <c r="BI6" s="5"/>
      <c r="BJ6" s="5"/>
      <c r="BK6" s="5"/>
      <c r="BL6" s="5"/>
      <c r="BM6" s="5"/>
      <c r="BN6" s="5"/>
      <c r="BO6" s="5"/>
      <c r="BP6" s="5"/>
      <c r="BQ6" s="5"/>
      <c r="BR6" s="5"/>
      <c r="BS6" s="5"/>
      <c r="BT6" s="5"/>
      <c r="BU6" s="14"/>
      <c r="BV6" s="5"/>
      <c r="BW6" s="5"/>
      <c r="BX6" s="5"/>
      <c r="BY6" s="5"/>
      <c r="BZ6" s="5"/>
      <c r="CA6" s="5"/>
      <c r="CB6" s="5"/>
      <c r="CC6" s="5"/>
      <c r="CD6" s="5"/>
      <c r="CE6" s="5"/>
      <c r="CF6" s="5"/>
      <c r="CG6" s="5"/>
      <c r="CH6" s="5"/>
      <c r="CI6" s="5"/>
      <c r="CJ6" s="5"/>
      <c r="CK6" s="5"/>
      <c r="CL6" s="5"/>
      <c r="CM6" s="5"/>
      <c r="CN6" s="5"/>
      <c r="CO6" s="5"/>
      <c r="CP6" s="5"/>
      <c r="CQ6" s="5"/>
      <c r="CR6" s="5"/>
      <c r="CS6" s="5"/>
      <c r="CT6" s="5"/>
      <c r="CU6" s="50"/>
      <c r="CZ6" s="56"/>
    </row>
    <row r="7" spans="1:104" ht="12" customHeight="1" x14ac:dyDescent="0.25">
      <c r="A7" s="169"/>
      <c r="B7" s="170"/>
      <c r="C7" s="170"/>
      <c r="D7" s="170"/>
      <c r="E7" s="170"/>
      <c r="F7" s="170"/>
      <c r="G7" s="170"/>
      <c r="H7" s="170"/>
      <c r="I7" s="170"/>
      <c r="J7" s="170"/>
      <c r="K7" s="170"/>
      <c r="L7" s="170"/>
      <c r="M7" s="170"/>
      <c r="N7" s="170"/>
      <c r="O7" s="170"/>
      <c r="P7" s="170"/>
      <c r="Q7" s="170"/>
      <c r="R7" s="171"/>
      <c r="S7" s="192" t="s">
        <v>333</v>
      </c>
      <c r="T7" s="193"/>
      <c r="U7" s="193"/>
      <c r="V7" s="193"/>
      <c r="W7" s="193"/>
      <c r="X7" s="193"/>
      <c r="Y7" s="193"/>
      <c r="Z7" s="193"/>
      <c r="AA7" s="194"/>
      <c r="AB7" s="181"/>
      <c r="AC7" s="182"/>
      <c r="AD7" s="182"/>
      <c r="AE7" s="182"/>
      <c r="AF7" s="182"/>
      <c r="AG7" s="182"/>
      <c r="AH7" s="182"/>
      <c r="AI7" s="182"/>
      <c r="AJ7" s="183"/>
      <c r="AK7" s="53"/>
      <c r="AL7" s="53"/>
      <c r="AM7" s="53"/>
      <c r="AN7" s="53"/>
      <c r="AO7" s="53"/>
      <c r="AP7" s="53"/>
      <c r="AQ7" s="53"/>
      <c r="AR7" s="5"/>
      <c r="AS7" s="5"/>
      <c r="AT7" s="14"/>
      <c r="AU7" s="5"/>
      <c r="AV7" s="5"/>
      <c r="AW7" s="5"/>
      <c r="AX7" s="5"/>
      <c r="AY7" s="5"/>
      <c r="AZ7" s="5"/>
      <c r="BA7" s="5"/>
      <c r="BB7" s="5"/>
      <c r="BC7" s="5"/>
      <c r="BD7" s="5"/>
      <c r="BE7" s="5"/>
      <c r="BF7" s="5"/>
      <c r="BG7" s="5"/>
      <c r="BH7" s="5"/>
      <c r="BI7" s="5"/>
      <c r="BJ7" s="5"/>
      <c r="BK7" s="5"/>
      <c r="BL7" s="5"/>
      <c r="BM7" s="5"/>
      <c r="BN7" s="5"/>
      <c r="BO7" s="5"/>
      <c r="BP7" s="5"/>
      <c r="BQ7" s="5"/>
      <c r="BR7" s="5"/>
      <c r="BS7" s="5"/>
      <c r="BT7" s="5"/>
      <c r="BU7" s="14"/>
      <c r="BV7" s="5"/>
      <c r="BW7" s="5"/>
      <c r="BX7" s="5"/>
      <c r="BY7" s="5"/>
      <c r="BZ7" s="5"/>
      <c r="CA7" s="5"/>
      <c r="CB7" s="5"/>
      <c r="CC7" s="5"/>
      <c r="CD7" s="5"/>
      <c r="CE7" s="5"/>
      <c r="CF7" s="5"/>
      <c r="CG7" s="5"/>
      <c r="CH7" s="5"/>
      <c r="CI7" s="5"/>
      <c r="CJ7" s="5"/>
      <c r="CK7" s="5"/>
      <c r="CL7" s="5"/>
      <c r="CM7" s="5"/>
      <c r="CN7" s="5"/>
      <c r="CO7" s="5"/>
      <c r="CP7" s="5"/>
      <c r="CQ7" s="5"/>
      <c r="CR7" s="5"/>
      <c r="CS7" s="5"/>
      <c r="CT7" s="5"/>
      <c r="CU7" s="50"/>
    </row>
    <row r="8" spans="1:104" ht="12" customHeight="1" thickBot="1" x14ac:dyDescent="0.3">
      <c r="A8" s="172"/>
      <c r="B8" s="173"/>
      <c r="C8" s="173"/>
      <c r="D8" s="173"/>
      <c r="E8" s="173"/>
      <c r="F8" s="173"/>
      <c r="G8" s="173"/>
      <c r="H8" s="173"/>
      <c r="I8" s="173"/>
      <c r="J8" s="173"/>
      <c r="K8" s="173"/>
      <c r="L8" s="173"/>
      <c r="M8" s="173"/>
      <c r="N8" s="173"/>
      <c r="O8" s="173"/>
      <c r="P8" s="173"/>
      <c r="Q8" s="173"/>
      <c r="R8" s="174"/>
      <c r="S8" s="195"/>
      <c r="T8" s="196"/>
      <c r="U8" s="196"/>
      <c r="V8" s="196"/>
      <c r="W8" s="196"/>
      <c r="X8" s="196"/>
      <c r="Y8" s="196"/>
      <c r="Z8" s="196"/>
      <c r="AA8" s="197"/>
      <c r="AB8" s="184"/>
      <c r="AC8" s="185"/>
      <c r="AD8" s="185"/>
      <c r="AE8" s="185"/>
      <c r="AF8" s="185"/>
      <c r="AG8" s="185"/>
      <c r="AH8" s="185"/>
      <c r="AI8" s="185"/>
      <c r="AJ8" s="186"/>
      <c r="AK8" s="54"/>
      <c r="AL8" s="54"/>
      <c r="AM8" s="54"/>
      <c r="AN8" s="54"/>
      <c r="AO8" s="54"/>
      <c r="AP8" s="54"/>
      <c r="AQ8" s="54"/>
      <c r="AR8" s="38"/>
      <c r="AS8" s="38"/>
      <c r="AT8" s="51"/>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51"/>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9"/>
    </row>
    <row r="9" spans="1:104" ht="12" customHeight="1" x14ac:dyDescent="0.25">
      <c r="A9" s="190" t="s">
        <v>47</v>
      </c>
      <c r="B9" s="190"/>
      <c r="C9" s="190"/>
      <c r="D9" s="190"/>
      <c r="E9" s="190"/>
      <c r="F9" s="190"/>
      <c r="G9" s="190"/>
      <c r="H9" s="190"/>
      <c r="I9" s="191"/>
      <c r="J9" s="148" t="s">
        <v>334</v>
      </c>
      <c r="K9" s="149"/>
      <c r="L9" s="149"/>
      <c r="M9" s="149"/>
      <c r="N9" s="149"/>
      <c r="O9" s="149"/>
      <c r="P9" s="149"/>
      <c r="Q9" s="149"/>
      <c r="R9" s="152"/>
      <c r="S9" s="148" t="s">
        <v>335</v>
      </c>
      <c r="T9" s="149"/>
      <c r="U9" s="149"/>
      <c r="V9" s="149"/>
      <c r="W9" s="149"/>
      <c r="X9" s="149"/>
      <c r="Y9" s="149"/>
      <c r="Z9" s="149"/>
      <c r="AA9" s="149"/>
      <c r="AB9" s="148" t="s">
        <v>795</v>
      </c>
      <c r="AC9" s="149"/>
      <c r="AD9" s="149"/>
      <c r="AE9" s="149"/>
      <c r="AF9" s="149"/>
      <c r="AG9" s="149"/>
      <c r="AH9" s="149"/>
      <c r="AI9" s="149"/>
      <c r="AJ9" s="149"/>
      <c r="AK9" s="150" t="s">
        <v>796</v>
      </c>
      <c r="AL9" s="151"/>
      <c r="AM9" s="151"/>
      <c r="AN9" s="151"/>
      <c r="AO9" s="151"/>
      <c r="AP9" s="151"/>
      <c r="AQ9" s="151"/>
      <c r="AR9" s="151"/>
      <c r="AS9" s="151"/>
      <c r="AT9" s="148" t="s">
        <v>797</v>
      </c>
      <c r="AU9" s="149"/>
      <c r="AV9" s="149"/>
      <c r="AW9" s="149"/>
      <c r="AX9" s="149"/>
      <c r="AY9" s="149"/>
      <c r="AZ9" s="149"/>
      <c r="BA9" s="149"/>
      <c r="BB9" s="149"/>
      <c r="BC9" s="148" t="s">
        <v>798</v>
      </c>
      <c r="BD9" s="149"/>
      <c r="BE9" s="149"/>
      <c r="BF9" s="149"/>
      <c r="BG9" s="149"/>
      <c r="BH9" s="149"/>
      <c r="BI9" s="149"/>
      <c r="BJ9" s="149"/>
      <c r="BK9" s="149"/>
      <c r="BL9" s="148" t="s">
        <v>799</v>
      </c>
      <c r="BM9" s="149"/>
      <c r="BN9" s="149"/>
      <c r="BO9" s="149"/>
      <c r="BP9" s="149"/>
      <c r="BQ9" s="149"/>
      <c r="BR9" s="149"/>
      <c r="BS9" s="149"/>
      <c r="BT9" s="149"/>
      <c r="BU9" s="148" t="s">
        <v>800</v>
      </c>
      <c r="BV9" s="149"/>
      <c r="BW9" s="149"/>
      <c r="BX9" s="149"/>
      <c r="BY9" s="149"/>
      <c r="BZ9" s="149"/>
      <c r="CA9" s="149"/>
      <c r="CB9" s="149"/>
      <c r="CC9" s="149"/>
      <c r="CD9" s="148" t="s">
        <v>801</v>
      </c>
      <c r="CE9" s="149"/>
      <c r="CF9" s="149"/>
      <c r="CG9" s="149"/>
      <c r="CH9" s="149"/>
      <c r="CI9" s="149"/>
      <c r="CJ9" s="149"/>
      <c r="CK9" s="149"/>
      <c r="CL9" s="149"/>
      <c r="CM9" s="148" t="s">
        <v>336</v>
      </c>
      <c r="CN9" s="149"/>
      <c r="CO9" s="149"/>
      <c r="CP9" s="149"/>
      <c r="CQ9" s="149"/>
      <c r="CR9" s="149"/>
      <c r="CS9" s="149"/>
      <c r="CT9" s="149"/>
      <c r="CU9" s="152"/>
      <c r="CV9" s="37"/>
    </row>
    <row r="10" spans="1:104" ht="12" customHeight="1" x14ac:dyDescent="0.25">
      <c r="A10" s="115"/>
      <c r="B10" s="115"/>
      <c r="C10" s="115"/>
      <c r="D10" s="115"/>
      <c r="E10" s="115"/>
      <c r="F10" s="115"/>
      <c r="G10" s="115"/>
      <c r="H10" s="115"/>
      <c r="I10" s="116"/>
      <c r="J10" s="127"/>
      <c r="K10" s="128"/>
      <c r="L10" s="128"/>
      <c r="M10" s="128"/>
      <c r="N10" s="128"/>
      <c r="O10" s="128"/>
      <c r="P10" s="128"/>
      <c r="Q10" s="128"/>
      <c r="R10" s="153"/>
      <c r="S10" s="127"/>
      <c r="T10" s="128"/>
      <c r="U10" s="128"/>
      <c r="V10" s="128"/>
      <c r="W10" s="128"/>
      <c r="X10" s="128"/>
      <c r="Y10" s="128"/>
      <c r="Z10" s="128"/>
      <c r="AA10" s="128"/>
      <c r="AB10" s="127"/>
      <c r="AC10" s="128"/>
      <c r="AD10" s="128"/>
      <c r="AE10" s="128"/>
      <c r="AF10" s="128"/>
      <c r="AG10" s="128"/>
      <c r="AH10" s="128"/>
      <c r="AI10" s="128"/>
      <c r="AJ10" s="128"/>
      <c r="AK10" s="127"/>
      <c r="AL10" s="128"/>
      <c r="AM10" s="128"/>
      <c r="AN10" s="128"/>
      <c r="AO10" s="128"/>
      <c r="AP10" s="128"/>
      <c r="AQ10" s="128"/>
      <c r="AR10" s="128"/>
      <c r="AS10" s="128"/>
      <c r="AT10" s="127"/>
      <c r="AU10" s="128"/>
      <c r="AV10" s="128"/>
      <c r="AW10" s="128"/>
      <c r="AX10" s="128"/>
      <c r="AY10" s="128"/>
      <c r="AZ10" s="128"/>
      <c r="BA10" s="128"/>
      <c r="BB10" s="128"/>
      <c r="BC10" s="127"/>
      <c r="BD10" s="128"/>
      <c r="BE10" s="128"/>
      <c r="BF10" s="128"/>
      <c r="BG10" s="128"/>
      <c r="BH10" s="128"/>
      <c r="BI10" s="128"/>
      <c r="BJ10" s="128"/>
      <c r="BK10" s="128"/>
      <c r="BL10" s="127"/>
      <c r="BM10" s="128"/>
      <c r="BN10" s="128"/>
      <c r="BO10" s="128"/>
      <c r="BP10" s="128"/>
      <c r="BQ10" s="128"/>
      <c r="BR10" s="128"/>
      <c r="BS10" s="128"/>
      <c r="BT10" s="128"/>
      <c r="BU10" s="127"/>
      <c r="BV10" s="128"/>
      <c r="BW10" s="128"/>
      <c r="BX10" s="128"/>
      <c r="BY10" s="128"/>
      <c r="BZ10" s="128"/>
      <c r="CA10" s="128"/>
      <c r="CB10" s="128"/>
      <c r="CC10" s="128"/>
      <c r="CD10" s="127"/>
      <c r="CE10" s="128"/>
      <c r="CF10" s="128"/>
      <c r="CG10" s="128"/>
      <c r="CH10" s="128"/>
      <c r="CI10" s="128"/>
      <c r="CJ10" s="128"/>
      <c r="CK10" s="128"/>
      <c r="CL10" s="128"/>
      <c r="CM10" s="127"/>
      <c r="CN10" s="128"/>
      <c r="CO10" s="128"/>
      <c r="CP10" s="128"/>
      <c r="CQ10" s="128"/>
      <c r="CR10" s="128"/>
      <c r="CS10" s="128"/>
      <c r="CT10" s="128"/>
      <c r="CU10" s="153"/>
      <c r="CV10" s="37"/>
    </row>
    <row r="11" spans="1:104" ht="12" customHeight="1" x14ac:dyDescent="0.25">
      <c r="A11" s="115" t="s">
        <v>337</v>
      </c>
      <c r="B11" s="115"/>
      <c r="C11" s="115"/>
      <c r="D11" s="115"/>
      <c r="E11" s="115"/>
      <c r="F11" s="115"/>
      <c r="G11" s="115"/>
      <c r="H11" s="115"/>
      <c r="I11" s="116"/>
      <c r="J11" s="127" t="s">
        <v>811</v>
      </c>
      <c r="K11" s="128"/>
      <c r="L11" s="128"/>
      <c r="M11" s="128"/>
      <c r="N11" s="128"/>
      <c r="O11" s="128"/>
      <c r="P11" s="128"/>
      <c r="Q11" s="128"/>
      <c r="R11" s="128"/>
      <c r="S11" s="127" t="s">
        <v>810</v>
      </c>
      <c r="T11" s="128"/>
      <c r="U11" s="128"/>
      <c r="V11" s="128"/>
      <c r="W11" s="128"/>
      <c r="X11" s="128"/>
      <c r="Y11" s="128"/>
      <c r="Z11" s="128"/>
      <c r="AA11" s="128"/>
      <c r="AB11" s="127" t="s">
        <v>809</v>
      </c>
      <c r="AC11" s="128"/>
      <c r="AD11" s="128"/>
      <c r="AE11" s="128"/>
      <c r="AF11" s="128"/>
      <c r="AG11" s="128"/>
      <c r="AH11" s="128"/>
      <c r="AI11" s="128"/>
      <c r="AJ11" s="128"/>
      <c r="AK11" s="127" t="s">
        <v>808</v>
      </c>
      <c r="AL11" s="128"/>
      <c r="AM11" s="128"/>
      <c r="AN11" s="128"/>
      <c r="AO11" s="128"/>
      <c r="AP11" s="128"/>
      <c r="AQ11" s="128"/>
      <c r="AR11" s="128"/>
      <c r="AS11" s="128"/>
      <c r="AT11" s="127" t="s">
        <v>807</v>
      </c>
      <c r="AU11" s="128"/>
      <c r="AV11" s="128"/>
      <c r="AW11" s="128"/>
      <c r="AX11" s="128"/>
      <c r="AY11" s="128"/>
      <c r="AZ11" s="128"/>
      <c r="BA11" s="128"/>
      <c r="BB11" s="128"/>
      <c r="BC11" s="127" t="s">
        <v>806</v>
      </c>
      <c r="BD11" s="128"/>
      <c r="BE11" s="128"/>
      <c r="BF11" s="128"/>
      <c r="BG11" s="128"/>
      <c r="BH11" s="128"/>
      <c r="BI11" s="128"/>
      <c r="BJ11" s="128"/>
      <c r="BK11" s="128"/>
      <c r="BL11" s="127" t="s">
        <v>805</v>
      </c>
      <c r="BM11" s="128"/>
      <c r="BN11" s="128"/>
      <c r="BO11" s="128"/>
      <c r="BP11" s="128"/>
      <c r="BQ11" s="128"/>
      <c r="BR11" s="128"/>
      <c r="BS11" s="128"/>
      <c r="BT11" s="128"/>
      <c r="BU11" s="127" t="s">
        <v>804</v>
      </c>
      <c r="BV11" s="128"/>
      <c r="BW11" s="128"/>
      <c r="BX11" s="128"/>
      <c r="BY11" s="128"/>
      <c r="BZ11" s="128"/>
      <c r="CA11" s="128"/>
      <c r="CB11" s="128"/>
      <c r="CC11" s="128"/>
      <c r="CD11" s="127" t="s">
        <v>803</v>
      </c>
      <c r="CE11" s="128"/>
      <c r="CF11" s="128"/>
      <c r="CG11" s="128"/>
      <c r="CH11" s="128"/>
      <c r="CI11" s="128"/>
      <c r="CJ11" s="128"/>
      <c r="CK11" s="128"/>
      <c r="CL11" s="128"/>
      <c r="CM11" s="127" t="s">
        <v>802</v>
      </c>
      <c r="CN11" s="128"/>
      <c r="CO11" s="128"/>
      <c r="CP11" s="128"/>
      <c r="CQ11" s="128"/>
      <c r="CR11" s="128"/>
      <c r="CS11" s="128"/>
      <c r="CT11" s="128"/>
      <c r="CU11" s="153"/>
      <c r="CV11" s="37"/>
    </row>
    <row r="12" spans="1:104" ht="12" customHeight="1" x14ac:dyDescent="0.25">
      <c r="A12" s="115"/>
      <c r="B12" s="115"/>
      <c r="C12" s="115"/>
      <c r="D12" s="115"/>
      <c r="E12" s="115"/>
      <c r="F12" s="115"/>
      <c r="G12" s="115"/>
      <c r="H12" s="115"/>
      <c r="I12" s="116"/>
      <c r="J12" s="127"/>
      <c r="K12" s="128"/>
      <c r="L12" s="128"/>
      <c r="M12" s="128"/>
      <c r="N12" s="128"/>
      <c r="O12" s="128"/>
      <c r="P12" s="128"/>
      <c r="Q12" s="128"/>
      <c r="R12" s="128"/>
      <c r="S12" s="127"/>
      <c r="T12" s="128"/>
      <c r="U12" s="128"/>
      <c r="V12" s="128"/>
      <c r="W12" s="128"/>
      <c r="X12" s="128"/>
      <c r="Y12" s="128"/>
      <c r="Z12" s="128"/>
      <c r="AA12" s="128"/>
      <c r="AB12" s="127"/>
      <c r="AC12" s="128"/>
      <c r="AD12" s="128"/>
      <c r="AE12" s="128"/>
      <c r="AF12" s="128"/>
      <c r="AG12" s="128"/>
      <c r="AH12" s="128"/>
      <c r="AI12" s="128"/>
      <c r="AJ12" s="128"/>
      <c r="AK12" s="127"/>
      <c r="AL12" s="128"/>
      <c r="AM12" s="128"/>
      <c r="AN12" s="128"/>
      <c r="AO12" s="128"/>
      <c r="AP12" s="128"/>
      <c r="AQ12" s="128"/>
      <c r="AR12" s="128"/>
      <c r="AS12" s="128"/>
      <c r="AT12" s="127"/>
      <c r="AU12" s="128"/>
      <c r="AV12" s="128"/>
      <c r="AW12" s="128"/>
      <c r="AX12" s="128"/>
      <c r="AY12" s="128"/>
      <c r="AZ12" s="128"/>
      <c r="BA12" s="128"/>
      <c r="BB12" s="128"/>
      <c r="BC12" s="127"/>
      <c r="BD12" s="128"/>
      <c r="BE12" s="128"/>
      <c r="BF12" s="128"/>
      <c r="BG12" s="128"/>
      <c r="BH12" s="128"/>
      <c r="BI12" s="128"/>
      <c r="BJ12" s="128"/>
      <c r="BK12" s="128"/>
      <c r="BL12" s="127"/>
      <c r="BM12" s="128"/>
      <c r="BN12" s="128"/>
      <c r="BO12" s="128"/>
      <c r="BP12" s="128"/>
      <c r="BQ12" s="128"/>
      <c r="BR12" s="128"/>
      <c r="BS12" s="128"/>
      <c r="BT12" s="128"/>
      <c r="BU12" s="127"/>
      <c r="BV12" s="128"/>
      <c r="BW12" s="128"/>
      <c r="BX12" s="128"/>
      <c r="BY12" s="128"/>
      <c r="BZ12" s="128"/>
      <c r="CA12" s="128"/>
      <c r="CB12" s="128"/>
      <c r="CC12" s="128"/>
      <c r="CD12" s="127"/>
      <c r="CE12" s="128"/>
      <c r="CF12" s="128"/>
      <c r="CG12" s="128"/>
      <c r="CH12" s="128"/>
      <c r="CI12" s="128"/>
      <c r="CJ12" s="128"/>
      <c r="CK12" s="128"/>
      <c r="CL12" s="128"/>
      <c r="CM12" s="127"/>
      <c r="CN12" s="128"/>
      <c r="CO12" s="128"/>
      <c r="CP12" s="128"/>
      <c r="CQ12" s="128"/>
      <c r="CR12" s="128"/>
      <c r="CS12" s="128"/>
      <c r="CT12" s="128"/>
      <c r="CU12" s="153"/>
      <c r="CV12" s="37"/>
    </row>
    <row r="13" spans="1:104" ht="12" customHeight="1" x14ac:dyDescent="0.25">
      <c r="A13" s="115" t="s">
        <v>49</v>
      </c>
      <c r="B13" s="115"/>
      <c r="C13" s="115"/>
      <c r="D13" s="115"/>
      <c r="E13" s="115"/>
      <c r="F13" s="115"/>
      <c r="G13" s="115"/>
      <c r="H13" s="115"/>
      <c r="I13" s="116"/>
      <c r="J13" s="127" t="s">
        <v>58</v>
      </c>
      <c r="K13" s="128"/>
      <c r="L13" s="128"/>
      <c r="M13" s="128"/>
      <c r="N13" s="128"/>
      <c r="O13" s="128"/>
      <c r="P13" s="128"/>
      <c r="Q13" s="128"/>
      <c r="R13" s="128"/>
      <c r="S13" s="127" t="s">
        <v>58</v>
      </c>
      <c r="T13" s="128"/>
      <c r="U13" s="128"/>
      <c r="V13" s="128"/>
      <c r="W13" s="128"/>
      <c r="X13" s="128"/>
      <c r="Y13" s="128"/>
      <c r="Z13" s="128"/>
      <c r="AA13" s="128"/>
      <c r="AB13" s="127" t="s">
        <v>58</v>
      </c>
      <c r="AC13" s="128"/>
      <c r="AD13" s="128"/>
      <c r="AE13" s="128"/>
      <c r="AF13" s="128"/>
      <c r="AG13" s="128"/>
      <c r="AH13" s="128"/>
      <c r="AI13" s="128"/>
      <c r="AJ13" s="128"/>
      <c r="AK13" s="127" t="s">
        <v>58</v>
      </c>
      <c r="AL13" s="128"/>
      <c r="AM13" s="128"/>
      <c r="AN13" s="128"/>
      <c r="AO13" s="128"/>
      <c r="AP13" s="128"/>
      <c r="AQ13" s="128"/>
      <c r="AR13" s="128"/>
      <c r="AS13" s="128"/>
      <c r="AT13" s="127" t="s">
        <v>58</v>
      </c>
      <c r="AU13" s="128"/>
      <c r="AV13" s="128"/>
      <c r="AW13" s="128"/>
      <c r="AX13" s="128"/>
      <c r="AY13" s="128"/>
      <c r="AZ13" s="128"/>
      <c r="BA13" s="128"/>
      <c r="BB13" s="128"/>
      <c r="BC13" s="127"/>
      <c r="BD13" s="128"/>
      <c r="BE13" s="128"/>
      <c r="BF13" s="128"/>
      <c r="BG13" s="128"/>
      <c r="BH13" s="128"/>
      <c r="BI13" s="128"/>
      <c r="BJ13" s="128"/>
      <c r="BK13" s="128"/>
      <c r="BL13" s="127" t="s">
        <v>58</v>
      </c>
      <c r="BM13" s="128"/>
      <c r="BN13" s="128"/>
      <c r="BO13" s="128"/>
      <c r="BP13" s="128"/>
      <c r="BQ13" s="128"/>
      <c r="BR13" s="128"/>
      <c r="BS13" s="128"/>
      <c r="BT13" s="128"/>
      <c r="BU13" s="127"/>
      <c r="BV13" s="128"/>
      <c r="BW13" s="128"/>
      <c r="BX13" s="128"/>
      <c r="BY13" s="128"/>
      <c r="BZ13" s="128"/>
      <c r="CA13" s="128"/>
      <c r="CB13" s="128"/>
      <c r="CC13" s="128"/>
      <c r="CD13" s="127" t="s">
        <v>58</v>
      </c>
      <c r="CE13" s="128"/>
      <c r="CF13" s="128"/>
      <c r="CG13" s="128"/>
      <c r="CH13" s="128"/>
      <c r="CI13" s="128"/>
      <c r="CJ13" s="128"/>
      <c r="CK13" s="128"/>
      <c r="CL13" s="128"/>
      <c r="CM13" s="127" t="s">
        <v>58</v>
      </c>
      <c r="CN13" s="128"/>
      <c r="CO13" s="128"/>
      <c r="CP13" s="128"/>
      <c r="CQ13" s="128"/>
      <c r="CR13" s="128"/>
      <c r="CS13" s="128"/>
      <c r="CT13" s="128"/>
      <c r="CU13" s="153"/>
      <c r="CV13" s="37"/>
    </row>
    <row r="14" spans="1:104" ht="12" customHeight="1" x14ac:dyDescent="0.25">
      <c r="A14" s="115"/>
      <c r="B14" s="115"/>
      <c r="C14" s="115"/>
      <c r="D14" s="115"/>
      <c r="E14" s="115"/>
      <c r="F14" s="115"/>
      <c r="G14" s="115"/>
      <c r="H14" s="115"/>
      <c r="I14" s="116"/>
      <c r="J14" s="127"/>
      <c r="K14" s="128"/>
      <c r="L14" s="128"/>
      <c r="M14" s="128"/>
      <c r="N14" s="128"/>
      <c r="O14" s="128"/>
      <c r="P14" s="128"/>
      <c r="Q14" s="128"/>
      <c r="R14" s="128"/>
      <c r="S14" s="127"/>
      <c r="T14" s="128"/>
      <c r="U14" s="128"/>
      <c r="V14" s="128"/>
      <c r="W14" s="128"/>
      <c r="X14" s="128"/>
      <c r="Y14" s="128"/>
      <c r="Z14" s="128"/>
      <c r="AA14" s="128"/>
      <c r="AB14" s="127"/>
      <c r="AC14" s="128"/>
      <c r="AD14" s="128"/>
      <c r="AE14" s="128"/>
      <c r="AF14" s="128"/>
      <c r="AG14" s="128"/>
      <c r="AH14" s="128"/>
      <c r="AI14" s="128"/>
      <c r="AJ14" s="128"/>
      <c r="AK14" s="127"/>
      <c r="AL14" s="128"/>
      <c r="AM14" s="128"/>
      <c r="AN14" s="128"/>
      <c r="AO14" s="128"/>
      <c r="AP14" s="128"/>
      <c r="AQ14" s="128"/>
      <c r="AR14" s="128"/>
      <c r="AS14" s="128"/>
      <c r="AT14" s="127"/>
      <c r="AU14" s="128"/>
      <c r="AV14" s="128"/>
      <c r="AW14" s="128"/>
      <c r="AX14" s="128"/>
      <c r="AY14" s="128"/>
      <c r="AZ14" s="128"/>
      <c r="BA14" s="128"/>
      <c r="BB14" s="128"/>
      <c r="BC14" s="127"/>
      <c r="BD14" s="128"/>
      <c r="BE14" s="128"/>
      <c r="BF14" s="128"/>
      <c r="BG14" s="128"/>
      <c r="BH14" s="128"/>
      <c r="BI14" s="128"/>
      <c r="BJ14" s="128"/>
      <c r="BK14" s="128"/>
      <c r="BL14" s="127"/>
      <c r="BM14" s="128"/>
      <c r="BN14" s="128"/>
      <c r="BO14" s="128"/>
      <c r="BP14" s="128"/>
      <c r="BQ14" s="128"/>
      <c r="BR14" s="128"/>
      <c r="BS14" s="128"/>
      <c r="BT14" s="128"/>
      <c r="BU14" s="127"/>
      <c r="BV14" s="128"/>
      <c r="BW14" s="128"/>
      <c r="BX14" s="128"/>
      <c r="BY14" s="128"/>
      <c r="BZ14" s="128"/>
      <c r="CA14" s="128"/>
      <c r="CB14" s="128"/>
      <c r="CC14" s="128"/>
      <c r="CD14" s="127"/>
      <c r="CE14" s="128"/>
      <c r="CF14" s="128"/>
      <c r="CG14" s="128"/>
      <c r="CH14" s="128"/>
      <c r="CI14" s="128"/>
      <c r="CJ14" s="128"/>
      <c r="CK14" s="128"/>
      <c r="CL14" s="128"/>
      <c r="CM14" s="127"/>
      <c r="CN14" s="128"/>
      <c r="CO14" s="128"/>
      <c r="CP14" s="128"/>
      <c r="CQ14" s="128"/>
      <c r="CR14" s="128"/>
      <c r="CS14" s="128"/>
      <c r="CT14" s="128"/>
      <c r="CU14" s="153"/>
      <c r="CV14" s="37"/>
    </row>
    <row r="15" spans="1:104" ht="12" customHeight="1" x14ac:dyDescent="0.25">
      <c r="A15" s="115" t="s">
        <v>13</v>
      </c>
      <c r="B15" s="115"/>
      <c r="C15" s="115"/>
      <c r="D15" s="115"/>
      <c r="E15" s="115"/>
      <c r="F15" s="115"/>
      <c r="G15" s="115"/>
      <c r="H15" s="115"/>
      <c r="I15" s="116"/>
      <c r="J15" s="131">
        <f ca="1">MATCH(J17,INDIRECT("Levels[XP]"),1)</f>
        <v>5</v>
      </c>
      <c r="K15" s="132"/>
      <c r="L15" s="132"/>
      <c r="M15" s="132"/>
      <c r="N15" s="132"/>
      <c r="O15" s="132"/>
      <c r="P15" s="132"/>
      <c r="Q15" s="132"/>
      <c r="R15" s="132"/>
      <c r="S15" s="131">
        <f ca="1">MATCH(S17,INDIRECT("Levels[XP]"),1)</f>
        <v>1</v>
      </c>
      <c r="T15" s="132"/>
      <c r="U15" s="132"/>
      <c r="V15" s="132"/>
      <c r="W15" s="132"/>
      <c r="X15" s="132"/>
      <c r="Y15" s="132"/>
      <c r="Z15" s="132"/>
      <c r="AA15" s="132"/>
      <c r="AB15" s="131">
        <f t="shared" ref="AB15" ca="1" si="0">MATCH(AB17,INDIRECT("Levels[XP]"),1)</f>
        <v>3</v>
      </c>
      <c r="AC15" s="132"/>
      <c r="AD15" s="132"/>
      <c r="AE15" s="132"/>
      <c r="AF15" s="132"/>
      <c r="AG15" s="132"/>
      <c r="AH15" s="132"/>
      <c r="AI15" s="132"/>
      <c r="AJ15" s="132"/>
      <c r="AK15" s="131">
        <f t="shared" ref="AK15" ca="1" si="1">MATCH(AK17,INDIRECT("Levels[XP]"),1)</f>
        <v>11</v>
      </c>
      <c r="AL15" s="132"/>
      <c r="AM15" s="132"/>
      <c r="AN15" s="132"/>
      <c r="AO15" s="132"/>
      <c r="AP15" s="132"/>
      <c r="AQ15" s="132"/>
      <c r="AR15" s="132"/>
      <c r="AS15" s="132"/>
      <c r="AT15" s="131">
        <f t="shared" ref="AT15" ca="1" si="2">MATCH(AT17,INDIRECT("Levels[XP]"),1)</f>
        <v>13</v>
      </c>
      <c r="AU15" s="132"/>
      <c r="AV15" s="132"/>
      <c r="AW15" s="132"/>
      <c r="AX15" s="132"/>
      <c r="AY15" s="132"/>
      <c r="AZ15" s="132"/>
      <c r="BA15" s="132"/>
      <c r="BB15" s="132"/>
      <c r="BC15" s="131">
        <f t="shared" ref="BC15" ca="1" si="3">MATCH(BC17,INDIRECT("Levels[XP]"),1)</f>
        <v>2</v>
      </c>
      <c r="BD15" s="132"/>
      <c r="BE15" s="132"/>
      <c r="BF15" s="132"/>
      <c r="BG15" s="132"/>
      <c r="BH15" s="132"/>
      <c r="BI15" s="132"/>
      <c r="BJ15" s="132"/>
      <c r="BK15" s="132"/>
      <c r="BL15" s="131">
        <f t="shared" ref="BL15" ca="1" si="4">MATCH(BL17,INDIRECT("Levels[XP]"),1)</f>
        <v>5</v>
      </c>
      <c r="BM15" s="132"/>
      <c r="BN15" s="132"/>
      <c r="BO15" s="132"/>
      <c r="BP15" s="132"/>
      <c r="BQ15" s="132"/>
      <c r="BR15" s="132"/>
      <c r="BS15" s="132"/>
      <c r="BT15" s="132"/>
      <c r="BU15" s="131">
        <f t="shared" ref="BU15" ca="1" si="5">MATCH(BU17,INDIRECT("Levels[XP]"),1)</f>
        <v>4</v>
      </c>
      <c r="BV15" s="132"/>
      <c r="BW15" s="132"/>
      <c r="BX15" s="132"/>
      <c r="BY15" s="132"/>
      <c r="BZ15" s="132"/>
      <c r="CA15" s="132"/>
      <c r="CB15" s="132"/>
      <c r="CC15" s="132"/>
      <c r="CD15" s="131">
        <f ca="1">MATCH(CD17,INDIRECT("Levels[XP]"),1)</f>
        <v>10</v>
      </c>
      <c r="CE15" s="132"/>
      <c r="CF15" s="132"/>
      <c r="CG15" s="132"/>
      <c r="CH15" s="132"/>
      <c r="CI15" s="132"/>
      <c r="CJ15" s="132"/>
      <c r="CK15" s="132"/>
      <c r="CL15" s="132"/>
      <c r="CM15" s="127">
        <f ca="1">MATCH(CM17,INDIRECT("Levels[XP]"),1)</f>
        <v>5</v>
      </c>
      <c r="CN15" s="128"/>
      <c r="CO15" s="128"/>
      <c r="CP15" s="128"/>
      <c r="CQ15" s="128"/>
      <c r="CR15" s="128"/>
      <c r="CS15" s="128"/>
      <c r="CT15" s="128"/>
      <c r="CU15" s="153"/>
      <c r="CV15" s="37"/>
    </row>
    <row r="16" spans="1:104" ht="12" customHeight="1" x14ac:dyDescent="0.25">
      <c r="A16" s="129" t="s">
        <v>338</v>
      </c>
      <c r="B16" s="129"/>
      <c r="C16" s="129"/>
      <c r="D16" s="129"/>
      <c r="E16" s="129"/>
      <c r="F16" s="129"/>
      <c r="G16" s="129"/>
      <c r="H16" s="129"/>
      <c r="I16" s="130"/>
      <c r="J16" s="133">
        <f ca="1">IFERROR(VLOOKUP(J15+1,Levels[],2,FALSE)-J17,"-")</f>
        <v>7000</v>
      </c>
      <c r="K16" s="134"/>
      <c r="L16" s="134"/>
      <c r="M16" s="134"/>
      <c r="N16" s="134"/>
      <c r="O16" s="134"/>
      <c r="P16" s="134"/>
      <c r="Q16" s="134"/>
      <c r="R16" s="134"/>
      <c r="S16" s="133">
        <f ca="1">IFERROR(VLOOKUP(S15+1,Levels[],2,FALSE)-S17,"-")</f>
        <v>285</v>
      </c>
      <c r="T16" s="134"/>
      <c r="U16" s="134"/>
      <c r="V16" s="134"/>
      <c r="W16" s="134"/>
      <c r="X16" s="134"/>
      <c r="Y16" s="134"/>
      <c r="Z16" s="134"/>
      <c r="AA16" s="134"/>
      <c r="AB16" s="133">
        <f ca="1">IFERROR(VLOOKUP(AB15+1,Levels[],2,FALSE)-AB17,"-")</f>
        <v>900</v>
      </c>
      <c r="AC16" s="134"/>
      <c r="AD16" s="134"/>
      <c r="AE16" s="134"/>
      <c r="AF16" s="134"/>
      <c r="AG16" s="134"/>
      <c r="AH16" s="134"/>
      <c r="AI16" s="134"/>
      <c r="AJ16" s="134"/>
      <c r="AK16" s="133">
        <f ca="1">IFERROR(VLOOKUP(AK15+1,Levels[],2,FALSE)-AK17,"-")</f>
        <v>9999</v>
      </c>
      <c r="AL16" s="134"/>
      <c r="AM16" s="134"/>
      <c r="AN16" s="134"/>
      <c r="AO16" s="134"/>
      <c r="AP16" s="134"/>
      <c r="AQ16" s="134"/>
      <c r="AR16" s="134"/>
      <c r="AS16" s="134"/>
      <c r="AT16" s="133">
        <f ca="1">IFERROR(VLOOKUP(AT15+1,Levels[],2,FALSE)-AT17,"-")</f>
        <v>20000</v>
      </c>
      <c r="AU16" s="134"/>
      <c r="AV16" s="134"/>
      <c r="AW16" s="134"/>
      <c r="AX16" s="134"/>
      <c r="AY16" s="134"/>
      <c r="AZ16" s="134"/>
      <c r="BA16" s="134"/>
      <c r="BB16" s="134"/>
      <c r="BC16" s="133">
        <f ca="1">IFERROR(VLOOKUP(BC15+1,Levels[],2,FALSE)-BC17,"-")</f>
        <v>567</v>
      </c>
      <c r="BD16" s="134"/>
      <c r="BE16" s="134"/>
      <c r="BF16" s="134"/>
      <c r="BG16" s="134"/>
      <c r="BH16" s="134"/>
      <c r="BI16" s="134"/>
      <c r="BJ16" s="134"/>
      <c r="BK16" s="134"/>
      <c r="BL16" s="133">
        <f ca="1">IFERROR(VLOOKUP(BL15+1,Levels[],2,FALSE)-BL17,"-")</f>
        <v>6346</v>
      </c>
      <c r="BM16" s="134"/>
      <c r="BN16" s="134"/>
      <c r="BO16" s="134"/>
      <c r="BP16" s="134"/>
      <c r="BQ16" s="134"/>
      <c r="BR16" s="134"/>
      <c r="BS16" s="134"/>
      <c r="BT16" s="134"/>
      <c r="BU16" s="133">
        <f ca="1">IFERROR(VLOOKUP(BU15+1,Levels[],2,FALSE)-BU17,"-")</f>
        <v>2144</v>
      </c>
      <c r="BV16" s="134"/>
      <c r="BW16" s="134"/>
      <c r="BX16" s="134"/>
      <c r="BY16" s="134"/>
      <c r="BZ16" s="134"/>
      <c r="CA16" s="134"/>
      <c r="CB16" s="134"/>
      <c r="CC16" s="134"/>
      <c r="CD16" s="133">
        <f ca="1">IFERROR(VLOOKUP(CD15+1,Levels[],2,FALSE)-CD17,"-")</f>
        <v>17142</v>
      </c>
      <c r="CE16" s="134"/>
      <c r="CF16" s="134"/>
      <c r="CG16" s="134"/>
      <c r="CH16" s="134"/>
      <c r="CI16" s="134"/>
      <c r="CJ16" s="134"/>
      <c r="CK16" s="134"/>
      <c r="CL16" s="134"/>
      <c r="CM16" s="102">
        <f ca="1">IFERROR(VLOOKUP(CM15+1,Levels[],2,FALSE)-CM17,"-")</f>
        <v>4125</v>
      </c>
      <c r="CN16" s="103"/>
      <c r="CO16" s="103"/>
      <c r="CP16" s="103"/>
      <c r="CQ16" s="103"/>
      <c r="CR16" s="103"/>
      <c r="CS16" s="103"/>
      <c r="CT16" s="103"/>
      <c r="CU16" s="104"/>
      <c r="CV16" s="37"/>
    </row>
    <row r="17" spans="1:100" ht="12" customHeight="1" x14ac:dyDescent="0.25">
      <c r="A17" s="129" t="s">
        <v>339</v>
      </c>
      <c r="B17" s="129"/>
      <c r="C17" s="129"/>
      <c r="D17" s="129"/>
      <c r="E17" s="129"/>
      <c r="F17" s="129"/>
      <c r="G17" s="129"/>
      <c r="H17" s="129"/>
      <c r="I17" s="130"/>
      <c r="J17" s="102">
        <v>7000</v>
      </c>
      <c r="K17" s="103"/>
      <c r="L17" s="103"/>
      <c r="M17" s="103"/>
      <c r="N17" s="103"/>
      <c r="O17" s="103"/>
      <c r="P17" s="103"/>
      <c r="Q17" s="103"/>
      <c r="R17" s="103"/>
      <c r="S17" s="102">
        <v>15</v>
      </c>
      <c r="T17" s="103"/>
      <c r="U17" s="103"/>
      <c r="V17" s="103"/>
      <c r="W17" s="103"/>
      <c r="X17" s="103"/>
      <c r="Y17" s="103"/>
      <c r="Z17" s="103"/>
      <c r="AA17" s="103"/>
      <c r="AB17" s="102">
        <v>1800</v>
      </c>
      <c r="AC17" s="103"/>
      <c r="AD17" s="103"/>
      <c r="AE17" s="103"/>
      <c r="AF17" s="103"/>
      <c r="AG17" s="103"/>
      <c r="AH17" s="103"/>
      <c r="AI17" s="103"/>
      <c r="AJ17" s="103"/>
      <c r="AK17" s="102">
        <v>90001</v>
      </c>
      <c r="AL17" s="103"/>
      <c r="AM17" s="103"/>
      <c r="AN17" s="103"/>
      <c r="AO17" s="103"/>
      <c r="AP17" s="103"/>
      <c r="AQ17" s="103"/>
      <c r="AR17" s="103"/>
      <c r="AS17" s="103"/>
      <c r="AT17" s="102">
        <v>120000</v>
      </c>
      <c r="AU17" s="103"/>
      <c r="AV17" s="103"/>
      <c r="AW17" s="103"/>
      <c r="AX17" s="103"/>
      <c r="AY17" s="103"/>
      <c r="AZ17" s="103"/>
      <c r="BA17" s="103"/>
      <c r="BB17" s="103"/>
      <c r="BC17" s="102">
        <v>333</v>
      </c>
      <c r="BD17" s="103"/>
      <c r="BE17" s="103"/>
      <c r="BF17" s="103"/>
      <c r="BG17" s="103"/>
      <c r="BH17" s="103"/>
      <c r="BI17" s="103"/>
      <c r="BJ17" s="103"/>
      <c r="BK17" s="103"/>
      <c r="BL17" s="102">
        <v>7654</v>
      </c>
      <c r="BM17" s="103"/>
      <c r="BN17" s="103"/>
      <c r="BO17" s="103"/>
      <c r="BP17" s="103"/>
      <c r="BQ17" s="103"/>
      <c r="BR17" s="103"/>
      <c r="BS17" s="103"/>
      <c r="BT17" s="103"/>
      <c r="BU17" s="102">
        <v>4356</v>
      </c>
      <c r="BV17" s="103"/>
      <c r="BW17" s="103"/>
      <c r="BX17" s="103"/>
      <c r="BY17" s="103"/>
      <c r="BZ17" s="103"/>
      <c r="CA17" s="103"/>
      <c r="CB17" s="103"/>
      <c r="CC17" s="103"/>
      <c r="CD17" s="102">
        <v>67858</v>
      </c>
      <c r="CE17" s="103"/>
      <c r="CF17" s="103"/>
      <c r="CG17" s="103"/>
      <c r="CH17" s="103"/>
      <c r="CI17" s="103"/>
      <c r="CJ17" s="103"/>
      <c r="CK17" s="103"/>
      <c r="CL17" s="103"/>
      <c r="CM17" s="102">
        <v>9875</v>
      </c>
      <c r="CN17" s="103"/>
      <c r="CO17" s="103"/>
      <c r="CP17" s="103"/>
      <c r="CQ17" s="103"/>
      <c r="CR17" s="103"/>
      <c r="CS17" s="103"/>
      <c r="CT17" s="103"/>
      <c r="CU17" s="104"/>
      <c r="CV17" s="37"/>
    </row>
    <row r="18" spans="1:100" ht="12" customHeight="1" x14ac:dyDescent="0.25">
      <c r="A18" s="115" t="s">
        <v>340</v>
      </c>
      <c r="B18" s="115"/>
      <c r="C18" s="115"/>
      <c r="D18" s="115"/>
      <c r="E18" s="115"/>
      <c r="F18" s="115"/>
      <c r="G18" s="115"/>
      <c r="H18" s="115"/>
      <c r="I18" s="116"/>
      <c r="J18" s="135">
        <f ca="1">VLOOKUP(J15,Levels[],3,FALSE)</f>
        <v>3</v>
      </c>
      <c r="K18" s="136"/>
      <c r="L18" s="136"/>
      <c r="M18" s="136"/>
      <c r="N18" s="136"/>
      <c r="O18" s="136"/>
      <c r="P18" s="136"/>
      <c r="Q18" s="136"/>
      <c r="R18" s="136"/>
      <c r="S18" s="135">
        <f ca="1">VLOOKUP(S15,Levels[],3,FALSE)</f>
        <v>2</v>
      </c>
      <c r="T18" s="136"/>
      <c r="U18" s="136"/>
      <c r="V18" s="136"/>
      <c r="W18" s="136"/>
      <c r="X18" s="136"/>
      <c r="Y18" s="136"/>
      <c r="Z18" s="136"/>
      <c r="AA18" s="136"/>
      <c r="AB18" s="135">
        <f ca="1">VLOOKUP(AB15,Levels[],3,FALSE)</f>
        <v>2</v>
      </c>
      <c r="AC18" s="136"/>
      <c r="AD18" s="136"/>
      <c r="AE18" s="136"/>
      <c r="AF18" s="136"/>
      <c r="AG18" s="136"/>
      <c r="AH18" s="136"/>
      <c r="AI18" s="136"/>
      <c r="AJ18" s="136"/>
      <c r="AK18" s="135">
        <f ca="1">VLOOKUP(AK15,Levels[],3,FALSE)</f>
        <v>4</v>
      </c>
      <c r="AL18" s="136"/>
      <c r="AM18" s="136"/>
      <c r="AN18" s="136"/>
      <c r="AO18" s="136"/>
      <c r="AP18" s="136"/>
      <c r="AQ18" s="136"/>
      <c r="AR18" s="136"/>
      <c r="AS18" s="136"/>
      <c r="AT18" s="135">
        <f ca="1">VLOOKUP(AT15,Levels[],3,FALSE)</f>
        <v>5</v>
      </c>
      <c r="AU18" s="136"/>
      <c r="AV18" s="136"/>
      <c r="AW18" s="136"/>
      <c r="AX18" s="136"/>
      <c r="AY18" s="136"/>
      <c r="AZ18" s="136"/>
      <c r="BA18" s="136"/>
      <c r="BB18" s="136"/>
      <c r="BC18" s="135">
        <f ca="1">VLOOKUP(BC15,Levels[],3,FALSE)</f>
        <v>2</v>
      </c>
      <c r="BD18" s="136"/>
      <c r="BE18" s="136"/>
      <c r="BF18" s="136"/>
      <c r="BG18" s="136"/>
      <c r="BH18" s="136"/>
      <c r="BI18" s="136"/>
      <c r="BJ18" s="136"/>
      <c r="BK18" s="136"/>
      <c r="BL18" s="135">
        <f ca="1">VLOOKUP(BL15,Levels[],3,FALSE)</f>
        <v>3</v>
      </c>
      <c r="BM18" s="136"/>
      <c r="BN18" s="136"/>
      <c r="BO18" s="136"/>
      <c r="BP18" s="136"/>
      <c r="BQ18" s="136"/>
      <c r="BR18" s="136"/>
      <c r="BS18" s="136"/>
      <c r="BT18" s="136"/>
      <c r="BU18" s="135">
        <f ca="1">VLOOKUP(BU15,Levels[],3,FALSE)</f>
        <v>2</v>
      </c>
      <c r="BV18" s="136"/>
      <c r="BW18" s="136"/>
      <c r="BX18" s="136"/>
      <c r="BY18" s="136"/>
      <c r="BZ18" s="136"/>
      <c r="CA18" s="136"/>
      <c r="CB18" s="136"/>
      <c r="CC18" s="136"/>
      <c r="CD18" s="135">
        <f ca="1">VLOOKUP(CD15,Levels[],3,FALSE)</f>
        <v>4</v>
      </c>
      <c r="CE18" s="136"/>
      <c r="CF18" s="136"/>
      <c r="CG18" s="136"/>
      <c r="CH18" s="136"/>
      <c r="CI18" s="136"/>
      <c r="CJ18" s="136"/>
      <c r="CK18" s="136"/>
      <c r="CL18" s="136"/>
      <c r="CM18" s="135">
        <f ca="1">VLOOKUP(CM15,Levels[],3,FALSE)</f>
        <v>3</v>
      </c>
      <c r="CN18" s="136"/>
      <c r="CO18" s="136"/>
      <c r="CP18" s="136"/>
      <c r="CQ18" s="136"/>
      <c r="CR18" s="136"/>
      <c r="CS18" s="136"/>
      <c r="CT18" s="136"/>
      <c r="CU18" s="154"/>
      <c r="CV18" s="37"/>
    </row>
    <row r="19" spans="1:100" ht="12" customHeight="1" x14ac:dyDescent="0.25">
      <c r="A19" s="115" t="s">
        <v>341</v>
      </c>
      <c r="B19" s="115"/>
      <c r="C19" s="115"/>
      <c r="D19" s="115"/>
      <c r="E19" s="115"/>
      <c r="F19" s="115"/>
      <c r="G19" s="115"/>
      <c r="H19" s="115"/>
      <c r="I19" s="116"/>
      <c r="J19" s="127">
        <v>32</v>
      </c>
      <c r="K19" s="128"/>
      <c r="L19" s="128"/>
      <c r="M19" s="128"/>
      <c r="N19" s="128"/>
      <c r="O19" s="128"/>
      <c r="P19" s="128"/>
      <c r="Q19" s="128"/>
      <c r="R19" s="128"/>
      <c r="S19" s="127">
        <v>111</v>
      </c>
      <c r="T19" s="128"/>
      <c r="U19" s="128"/>
      <c r="V19" s="128"/>
      <c r="W19" s="128"/>
      <c r="X19" s="128"/>
      <c r="Y19" s="128"/>
      <c r="Z19" s="128"/>
      <c r="AA19" s="128"/>
      <c r="AB19" s="127">
        <v>45</v>
      </c>
      <c r="AC19" s="128"/>
      <c r="AD19" s="128"/>
      <c r="AE19" s="128"/>
      <c r="AF19" s="128"/>
      <c r="AG19" s="128"/>
      <c r="AH19" s="128"/>
      <c r="AI19" s="128"/>
      <c r="AJ19" s="128"/>
      <c r="AK19" s="127">
        <v>67</v>
      </c>
      <c r="AL19" s="128"/>
      <c r="AM19" s="128"/>
      <c r="AN19" s="128"/>
      <c r="AO19" s="128"/>
      <c r="AP19" s="128"/>
      <c r="AQ19" s="128"/>
      <c r="AR19" s="128"/>
      <c r="AS19" s="128"/>
      <c r="AT19" s="127">
        <v>97</v>
      </c>
      <c r="AU19" s="128"/>
      <c r="AV19" s="128"/>
      <c r="AW19" s="128"/>
      <c r="AX19" s="128"/>
      <c r="AY19" s="128"/>
      <c r="AZ19" s="128"/>
      <c r="BA19" s="128"/>
      <c r="BB19" s="128"/>
      <c r="BC19" s="127">
        <v>44</v>
      </c>
      <c r="BD19" s="128"/>
      <c r="BE19" s="128"/>
      <c r="BF19" s="128"/>
      <c r="BG19" s="128"/>
      <c r="BH19" s="128"/>
      <c r="BI19" s="128"/>
      <c r="BJ19" s="128"/>
      <c r="BK19" s="128"/>
      <c r="BL19" s="127">
        <v>34</v>
      </c>
      <c r="BM19" s="128"/>
      <c r="BN19" s="128"/>
      <c r="BO19" s="128"/>
      <c r="BP19" s="128"/>
      <c r="BQ19" s="128"/>
      <c r="BR19" s="128"/>
      <c r="BS19" s="128"/>
      <c r="BT19" s="128"/>
      <c r="BU19" s="127">
        <v>97</v>
      </c>
      <c r="BV19" s="128"/>
      <c r="BW19" s="128"/>
      <c r="BX19" s="128"/>
      <c r="BY19" s="128"/>
      <c r="BZ19" s="128"/>
      <c r="CA19" s="128"/>
      <c r="CB19" s="128"/>
      <c r="CC19" s="128"/>
      <c r="CD19" s="127">
        <v>55</v>
      </c>
      <c r="CE19" s="128"/>
      <c r="CF19" s="128"/>
      <c r="CG19" s="128"/>
      <c r="CH19" s="128"/>
      <c r="CI19" s="128"/>
      <c r="CJ19" s="128"/>
      <c r="CK19" s="128"/>
      <c r="CL19" s="128"/>
      <c r="CM19" s="127">
        <v>34</v>
      </c>
      <c r="CN19" s="128"/>
      <c r="CO19" s="128"/>
      <c r="CP19" s="128"/>
      <c r="CQ19" s="128"/>
      <c r="CR19" s="128"/>
      <c r="CS19" s="128"/>
      <c r="CT19" s="128"/>
      <c r="CU19" s="153"/>
      <c r="CV19" s="37"/>
    </row>
    <row r="20" spans="1:100" ht="12" customHeight="1" x14ac:dyDescent="0.25">
      <c r="A20" s="115" t="s">
        <v>342</v>
      </c>
      <c r="B20" s="115"/>
      <c r="C20" s="115"/>
      <c r="D20" s="115"/>
      <c r="E20" s="115"/>
      <c r="F20" s="115"/>
      <c r="G20" s="115"/>
      <c r="H20" s="115"/>
      <c r="I20" s="116"/>
      <c r="J20" s="127">
        <f>_xlfn.IFNA(J19-INDEX(Encounter[],MATCH(J11,Encounter[Creature],0),6),"")</f>
        <v>32</v>
      </c>
      <c r="K20" s="128"/>
      <c r="L20" s="128"/>
      <c r="M20" s="128"/>
      <c r="N20" s="128"/>
      <c r="O20" s="128"/>
      <c r="P20" s="128"/>
      <c r="Q20" s="128"/>
      <c r="R20" s="128"/>
      <c r="S20" s="127">
        <f>_xlfn.IFNA(S19-INDEX(Encounter[],MATCH(S11,Encounter[Creature],0),6),"")</f>
        <v>111</v>
      </c>
      <c r="T20" s="128"/>
      <c r="U20" s="128"/>
      <c r="V20" s="128"/>
      <c r="W20" s="128"/>
      <c r="X20" s="128"/>
      <c r="Y20" s="128"/>
      <c r="Z20" s="128"/>
      <c r="AA20" s="128"/>
      <c r="AB20" s="127">
        <f>_xlfn.IFNA(AB19-INDEX(Encounter[],MATCH(AB11,Encounter[Creature],0),6),"")</f>
        <v>45</v>
      </c>
      <c r="AC20" s="128"/>
      <c r="AD20" s="128"/>
      <c r="AE20" s="128"/>
      <c r="AF20" s="128"/>
      <c r="AG20" s="128"/>
      <c r="AH20" s="128"/>
      <c r="AI20" s="128"/>
      <c r="AJ20" s="128"/>
      <c r="AK20" s="127">
        <f>_xlfn.IFNA(AK19-INDEX(Encounter[],MATCH(AK11,Encounter[Creature],0),6),"")</f>
        <v>67</v>
      </c>
      <c r="AL20" s="128"/>
      <c r="AM20" s="128"/>
      <c r="AN20" s="128"/>
      <c r="AO20" s="128"/>
      <c r="AP20" s="128"/>
      <c r="AQ20" s="128"/>
      <c r="AR20" s="128"/>
      <c r="AS20" s="128"/>
      <c r="AT20" s="127">
        <f>_xlfn.IFNA(AT19-INDEX(Encounter[],MATCH(AT11,Encounter[Creature],0),6),"")</f>
        <v>97</v>
      </c>
      <c r="AU20" s="128"/>
      <c r="AV20" s="128"/>
      <c r="AW20" s="128"/>
      <c r="AX20" s="128"/>
      <c r="AY20" s="128"/>
      <c r="AZ20" s="128"/>
      <c r="BA20" s="128"/>
      <c r="BB20" s="128"/>
      <c r="BC20" s="127" t="str">
        <f>_xlfn.IFNA(BC19-INDEX(Encounter[],MATCH(BC11,Encounter[Creature],0),6),"")</f>
        <v/>
      </c>
      <c r="BD20" s="128"/>
      <c r="BE20" s="128"/>
      <c r="BF20" s="128"/>
      <c r="BG20" s="128"/>
      <c r="BH20" s="128"/>
      <c r="BI20" s="128"/>
      <c r="BJ20" s="128"/>
      <c r="BK20" s="128"/>
      <c r="BL20" s="127">
        <f>_xlfn.IFNA(BL19-INDEX(Encounter[],MATCH(BL11,Encounter[Creature],0),6),"")</f>
        <v>34</v>
      </c>
      <c r="BM20" s="128"/>
      <c r="BN20" s="128"/>
      <c r="BO20" s="128"/>
      <c r="BP20" s="128"/>
      <c r="BQ20" s="128"/>
      <c r="BR20" s="128"/>
      <c r="BS20" s="128"/>
      <c r="BT20" s="128"/>
      <c r="BU20" s="127" t="str">
        <f>_xlfn.IFNA(BU19-INDEX(Encounter[],MATCH(BU11,Encounter[Creature],0),6),"")</f>
        <v/>
      </c>
      <c r="BV20" s="128"/>
      <c r="BW20" s="128"/>
      <c r="BX20" s="128"/>
      <c r="BY20" s="128"/>
      <c r="BZ20" s="128"/>
      <c r="CA20" s="128"/>
      <c r="CB20" s="128"/>
      <c r="CC20" s="128"/>
      <c r="CD20" s="127">
        <f>_xlfn.IFNA(CD19-INDEX(Encounter[],MATCH(CD11,Encounter[Creature],0),6),"")</f>
        <v>55</v>
      </c>
      <c r="CE20" s="128"/>
      <c r="CF20" s="128"/>
      <c r="CG20" s="128"/>
      <c r="CH20" s="128"/>
      <c r="CI20" s="128"/>
      <c r="CJ20" s="128"/>
      <c r="CK20" s="128"/>
      <c r="CL20" s="128"/>
      <c r="CM20" s="127">
        <f>_xlfn.IFNA(CM19-INDEX(Encounter[],MATCH(CM11,Encounter[Creature],0),6),"")</f>
        <v>34</v>
      </c>
      <c r="CN20" s="128"/>
      <c r="CO20" s="128"/>
      <c r="CP20" s="128"/>
      <c r="CQ20" s="128"/>
      <c r="CR20" s="128"/>
      <c r="CS20" s="128"/>
      <c r="CT20" s="128"/>
      <c r="CU20" s="153"/>
      <c r="CV20" s="37"/>
    </row>
    <row r="21" spans="1:100" ht="12" customHeight="1" x14ac:dyDescent="0.25">
      <c r="A21" s="115" t="s">
        <v>147</v>
      </c>
      <c r="B21" s="115"/>
      <c r="C21" s="115"/>
      <c r="D21" s="115"/>
      <c r="E21" s="115"/>
      <c r="F21" s="115"/>
      <c r="G21" s="115"/>
      <c r="H21" s="115"/>
      <c r="I21" s="116"/>
      <c r="J21" s="139" t="s">
        <v>193</v>
      </c>
      <c r="K21" s="140"/>
      <c r="L21" s="140"/>
      <c r="M21" s="140"/>
      <c r="N21" s="140"/>
      <c r="O21" s="140"/>
      <c r="P21" s="140"/>
      <c r="Q21" s="140"/>
      <c r="R21" s="140"/>
      <c r="S21" s="139" t="s">
        <v>295</v>
      </c>
      <c r="T21" s="140"/>
      <c r="U21" s="140"/>
      <c r="V21" s="140"/>
      <c r="W21" s="140"/>
      <c r="X21" s="140"/>
      <c r="Y21" s="140"/>
      <c r="Z21" s="140"/>
      <c r="AA21" s="140"/>
      <c r="AB21" s="139" t="s">
        <v>184</v>
      </c>
      <c r="AC21" s="140"/>
      <c r="AD21" s="140"/>
      <c r="AE21" s="140"/>
      <c r="AF21" s="140"/>
      <c r="AG21" s="140"/>
      <c r="AH21" s="140"/>
      <c r="AI21" s="140"/>
      <c r="AJ21" s="140"/>
      <c r="AK21" s="139" t="s">
        <v>306</v>
      </c>
      <c r="AL21" s="140"/>
      <c r="AM21" s="140"/>
      <c r="AN21" s="140"/>
      <c r="AO21" s="140"/>
      <c r="AP21" s="140"/>
      <c r="AQ21" s="140"/>
      <c r="AR21" s="140"/>
      <c r="AS21" s="140"/>
      <c r="AT21" s="139" t="s">
        <v>301</v>
      </c>
      <c r="AU21" s="140"/>
      <c r="AV21" s="140"/>
      <c r="AW21" s="140"/>
      <c r="AX21" s="140"/>
      <c r="AY21" s="140"/>
      <c r="AZ21" s="140"/>
      <c r="BA21" s="140"/>
      <c r="BB21" s="140"/>
      <c r="BC21" s="139" t="s">
        <v>791</v>
      </c>
      <c r="BD21" s="140"/>
      <c r="BE21" s="140"/>
      <c r="BF21" s="140"/>
      <c r="BG21" s="140"/>
      <c r="BH21" s="140"/>
      <c r="BI21" s="140"/>
      <c r="BJ21" s="140"/>
      <c r="BK21" s="140"/>
      <c r="BL21" s="139" t="s">
        <v>286</v>
      </c>
      <c r="BM21" s="140"/>
      <c r="BN21" s="140"/>
      <c r="BO21" s="140"/>
      <c r="BP21" s="140"/>
      <c r="BQ21" s="140"/>
      <c r="BR21" s="140"/>
      <c r="BS21" s="140"/>
      <c r="BT21" s="140"/>
      <c r="BU21" s="139" t="s">
        <v>288</v>
      </c>
      <c r="BV21" s="140"/>
      <c r="BW21" s="140"/>
      <c r="BX21" s="140"/>
      <c r="BY21" s="140"/>
      <c r="BZ21" s="140"/>
      <c r="CA21" s="140"/>
      <c r="CB21" s="140"/>
      <c r="CC21" s="140"/>
      <c r="CD21" s="139" t="s">
        <v>311</v>
      </c>
      <c r="CE21" s="140"/>
      <c r="CF21" s="140"/>
      <c r="CG21" s="140"/>
      <c r="CH21" s="140"/>
      <c r="CI21" s="140"/>
      <c r="CJ21" s="140"/>
      <c r="CK21" s="140"/>
      <c r="CL21" s="140"/>
      <c r="CM21" s="139" t="s">
        <v>324</v>
      </c>
      <c r="CN21" s="140"/>
      <c r="CO21" s="140"/>
      <c r="CP21" s="140"/>
      <c r="CQ21" s="140"/>
      <c r="CR21" s="140"/>
      <c r="CS21" s="140"/>
      <c r="CT21" s="140"/>
      <c r="CU21" s="156"/>
      <c r="CV21" s="37"/>
    </row>
    <row r="22" spans="1:100" ht="12" customHeight="1" x14ac:dyDescent="0.25">
      <c r="A22" s="115"/>
      <c r="B22" s="115"/>
      <c r="C22" s="115"/>
      <c r="D22" s="115"/>
      <c r="E22" s="115"/>
      <c r="F22" s="115"/>
      <c r="G22" s="115"/>
      <c r="H22" s="115"/>
      <c r="I22" s="116"/>
      <c r="J22" s="139"/>
      <c r="K22" s="140"/>
      <c r="L22" s="140"/>
      <c r="M22" s="140"/>
      <c r="N22" s="140"/>
      <c r="O22" s="140"/>
      <c r="P22" s="140"/>
      <c r="Q22" s="140"/>
      <c r="R22" s="140"/>
      <c r="S22" s="139"/>
      <c r="T22" s="140"/>
      <c r="U22" s="140"/>
      <c r="V22" s="140"/>
      <c r="W22" s="140"/>
      <c r="X22" s="140"/>
      <c r="Y22" s="140"/>
      <c r="Z22" s="140"/>
      <c r="AA22" s="140"/>
      <c r="AB22" s="139"/>
      <c r="AC22" s="140"/>
      <c r="AD22" s="140"/>
      <c r="AE22" s="140"/>
      <c r="AF22" s="140"/>
      <c r="AG22" s="140"/>
      <c r="AH22" s="140"/>
      <c r="AI22" s="140"/>
      <c r="AJ22" s="140"/>
      <c r="AK22" s="139"/>
      <c r="AL22" s="140"/>
      <c r="AM22" s="140"/>
      <c r="AN22" s="140"/>
      <c r="AO22" s="140"/>
      <c r="AP22" s="140"/>
      <c r="AQ22" s="140"/>
      <c r="AR22" s="140"/>
      <c r="AS22" s="140"/>
      <c r="AT22" s="139"/>
      <c r="AU22" s="140"/>
      <c r="AV22" s="140"/>
      <c r="AW22" s="140"/>
      <c r="AX22" s="140"/>
      <c r="AY22" s="140"/>
      <c r="AZ22" s="140"/>
      <c r="BA22" s="140"/>
      <c r="BB22" s="140"/>
      <c r="BC22" s="139"/>
      <c r="BD22" s="140"/>
      <c r="BE22" s="140"/>
      <c r="BF22" s="140"/>
      <c r="BG22" s="140"/>
      <c r="BH22" s="140"/>
      <c r="BI22" s="140"/>
      <c r="BJ22" s="140"/>
      <c r="BK22" s="140"/>
      <c r="BL22" s="139"/>
      <c r="BM22" s="140"/>
      <c r="BN22" s="140"/>
      <c r="BO22" s="140"/>
      <c r="BP22" s="140"/>
      <c r="BQ22" s="140"/>
      <c r="BR22" s="140"/>
      <c r="BS22" s="140"/>
      <c r="BT22" s="140"/>
      <c r="BU22" s="139"/>
      <c r="BV22" s="140"/>
      <c r="BW22" s="140"/>
      <c r="BX22" s="140"/>
      <c r="BY22" s="140"/>
      <c r="BZ22" s="140"/>
      <c r="CA22" s="140"/>
      <c r="CB22" s="140"/>
      <c r="CC22" s="140"/>
      <c r="CD22" s="139"/>
      <c r="CE22" s="140"/>
      <c r="CF22" s="140"/>
      <c r="CG22" s="140"/>
      <c r="CH22" s="140"/>
      <c r="CI22" s="140"/>
      <c r="CJ22" s="140"/>
      <c r="CK22" s="140"/>
      <c r="CL22" s="140"/>
      <c r="CM22" s="139"/>
      <c r="CN22" s="140"/>
      <c r="CO22" s="140"/>
      <c r="CP22" s="140"/>
      <c r="CQ22" s="140"/>
      <c r="CR22" s="140"/>
      <c r="CS22" s="140"/>
      <c r="CT22" s="140"/>
      <c r="CU22" s="156"/>
      <c r="CV22" s="37"/>
    </row>
    <row r="23" spans="1:100" ht="44.25" customHeight="1" x14ac:dyDescent="0.25">
      <c r="A23" s="146" t="s">
        <v>343</v>
      </c>
      <c r="B23" s="146"/>
      <c r="C23" s="146"/>
      <c r="D23" s="146"/>
      <c r="E23" s="146"/>
      <c r="F23" s="146"/>
      <c r="G23" s="146"/>
      <c r="H23" s="146"/>
      <c r="I23" s="147"/>
      <c r="J23" s="141" t="str">
        <f>IF(IFERROR(VLOOKUP('Player Manager'!J21,Races[],2,FALSE),"-")=0,"",IFERROR(VLOOKUP('Player Manager'!J21,Races[],2,FALSE),""))</f>
        <v>Available in DMs guild version</v>
      </c>
      <c r="K23" s="142"/>
      <c r="L23" s="142"/>
      <c r="M23" s="142"/>
      <c r="N23" s="142"/>
      <c r="O23" s="142"/>
      <c r="P23" s="142"/>
      <c r="Q23" s="142"/>
      <c r="R23" s="142"/>
      <c r="S23" s="141" t="str">
        <f>IF(IFERROR(VLOOKUP('Player Manager'!S21,Races[],2,FALSE),"-")=0,"",IFERROR(VLOOKUP('Player Manager'!S21,Races[],2,FALSE),""))</f>
        <v>Available in DMs guild version</v>
      </c>
      <c r="T23" s="142"/>
      <c r="U23" s="142"/>
      <c r="V23" s="142"/>
      <c r="W23" s="142"/>
      <c r="X23" s="142"/>
      <c r="Y23" s="142"/>
      <c r="Z23" s="142"/>
      <c r="AA23" s="142"/>
      <c r="AB23" s="141" t="str">
        <f>IF(IFERROR(VLOOKUP('Player Manager'!AB21,Races[],2,FALSE),"-")=0,"",IFERROR(VLOOKUP('Player Manager'!AB21,Races[],2,FALSE),""))</f>
        <v>Available in DMs guild version</v>
      </c>
      <c r="AC23" s="142"/>
      <c r="AD23" s="142"/>
      <c r="AE23" s="142"/>
      <c r="AF23" s="142"/>
      <c r="AG23" s="142"/>
      <c r="AH23" s="142"/>
      <c r="AI23" s="142"/>
      <c r="AJ23" s="142"/>
      <c r="AK23" s="141" t="str">
        <f>IF(IFERROR(VLOOKUP('Player Manager'!AK21,Races[],2,FALSE),"-")=0,"",IFERROR(VLOOKUP('Player Manager'!AK21,Races[],2,FALSE),""))</f>
        <v>Available in DMs guild version</v>
      </c>
      <c r="AL23" s="142"/>
      <c r="AM23" s="142"/>
      <c r="AN23" s="142"/>
      <c r="AO23" s="142"/>
      <c r="AP23" s="142"/>
      <c r="AQ23" s="142"/>
      <c r="AR23" s="142"/>
      <c r="AS23" s="142"/>
      <c r="AT23" s="141" t="str">
        <f>IF(IFERROR(VLOOKUP('Player Manager'!AT21,Races[],2,FALSE),"-")=0,"",IFERROR(VLOOKUP('Player Manager'!AT21,Races[],2,FALSE),""))</f>
        <v>Available in DMs guild version</v>
      </c>
      <c r="AU23" s="142"/>
      <c r="AV23" s="142"/>
      <c r="AW23" s="142"/>
      <c r="AX23" s="142"/>
      <c r="AY23" s="142"/>
      <c r="AZ23" s="142"/>
      <c r="BA23" s="142"/>
      <c r="BB23" s="142"/>
      <c r="BC23" s="141" t="str">
        <f>IF(IFERROR(VLOOKUP('Player Manager'!BC21,Races[],2,FALSE),"-")=0,"",IFERROR(VLOOKUP('Player Manager'!BC21,Races[],2,FALSE),""))</f>
        <v>Available in DMs guild version</v>
      </c>
      <c r="BD23" s="142"/>
      <c r="BE23" s="142"/>
      <c r="BF23" s="142"/>
      <c r="BG23" s="142"/>
      <c r="BH23" s="142"/>
      <c r="BI23" s="142"/>
      <c r="BJ23" s="142"/>
      <c r="BK23" s="142"/>
      <c r="BL23" s="141" t="str">
        <f>IF(IFERROR(VLOOKUP('Player Manager'!BL21,Races[],2,FALSE),"-")=0,"",IFERROR(VLOOKUP('Player Manager'!BL21,Races[],2,FALSE),""))</f>
        <v>Available in DMs guild version</v>
      </c>
      <c r="BM23" s="142"/>
      <c r="BN23" s="142"/>
      <c r="BO23" s="142"/>
      <c r="BP23" s="142"/>
      <c r="BQ23" s="142"/>
      <c r="BR23" s="142"/>
      <c r="BS23" s="142"/>
      <c r="BT23" s="142"/>
      <c r="BU23" s="141" t="str">
        <f>IF(IFERROR(VLOOKUP('Player Manager'!BU21,Races[],2,FALSE),"-")=0,"",IFERROR(VLOOKUP('Player Manager'!BU21,Races[],2,FALSE),""))</f>
        <v>Available in DMs guild version</v>
      </c>
      <c r="BV23" s="142"/>
      <c r="BW23" s="142"/>
      <c r="BX23" s="142"/>
      <c r="BY23" s="142"/>
      <c r="BZ23" s="142"/>
      <c r="CA23" s="142"/>
      <c r="CB23" s="142"/>
      <c r="CC23" s="142"/>
      <c r="CD23" s="141" t="str">
        <f>IF(IFERROR(VLOOKUP('Player Manager'!CD21,Races[],2,FALSE),"-")=0,"",IFERROR(VLOOKUP('Player Manager'!CD21,Races[],2,FALSE),""))</f>
        <v>Available in DMs guild version</v>
      </c>
      <c r="CE23" s="142"/>
      <c r="CF23" s="142"/>
      <c r="CG23" s="142"/>
      <c r="CH23" s="142"/>
      <c r="CI23" s="142"/>
      <c r="CJ23" s="142"/>
      <c r="CK23" s="142"/>
      <c r="CL23" s="142"/>
      <c r="CM23" s="141" t="str">
        <f>IF(IFERROR(VLOOKUP('Player Manager'!CM21,Races[],2,FALSE),"-")=0,"",IFERROR(VLOOKUP('Player Manager'!CM21,Races[],2,FALSE),""))</f>
        <v>Available in DMs guild version</v>
      </c>
      <c r="CN23" s="142"/>
      <c r="CO23" s="142"/>
      <c r="CP23" s="142"/>
      <c r="CQ23" s="142"/>
      <c r="CR23" s="142"/>
      <c r="CS23" s="142"/>
      <c r="CT23" s="142"/>
      <c r="CU23" s="157"/>
      <c r="CV23" s="37"/>
    </row>
    <row r="24" spans="1:100" ht="12" customHeight="1" x14ac:dyDescent="0.25">
      <c r="A24" s="146"/>
      <c r="B24" s="146"/>
      <c r="C24" s="146"/>
      <c r="D24" s="146"/>
      <c r="E24" s="146"/>
      <c r="F24" s="146"/>
      <c r="G24" s="146"/>
      <c r="H24" s="146"/>
      <c r="I24" s="147"/>
      <c r="J24" s="141"/>
      <c r="K24" s="142"/>
      <c r="L24" s="142"/>
      <c r="M24" s="142"/>
      <c r="N24" s="142"/>
      <c r="O24" s="142"/>
      <c r="P24" s="142"/>
      <c r="Q24" s="142"/>
      <c r="R24" s="142"/>
      <c r="S24" s="141"/>
      <c r="T24" s="142"/>
      <c r="U24" s="142"/>
      <c r="V24" s="142"/>
      <c r="W24" s="142"/>
      <c r="X24" s="142"/>
      <c r="Y24" s="142"/>
      <c r="Z24" s="142"/>
      <c r="AA24" s="142"/>
      <c r="AB24" s="141"/>
      <c r="AC24" s="142"/>
      <c r="AD24" s="142"/>
      <c r="AE24" s="142"/>
      <c r="AF24" s="142"/>
      <c r="AG24" s="142"/>
      <c r="AH24" s="142"/>
      <c r="AI24" s="142"/>
      <c r="AJ24" s="142"/>
      <c r="AK24" s="141"/>
      <c r="AL24" s="142"/>
      <c r="AM24" s="142"/>
      <c r="AN24" s="142"/>
      <c r="AO24" s="142"/>
      <c r="AP24" s="142"/>
      <c r="AQ24" s="142"/>
      <c r="AR24" s="142"/>
      <c r="AS24" s="142"/>
      <c r="AT24" s="141"/>
      <c r="AU24" s="142"/>
      <c r="AV24" s="142"/>
      <c r="AW24" s="142"/>
      <c r="AX24" s="142"/>
      <c r="AY24" s="142"/>
      <c r="AZ24" s="142"/>
      <c r="BA24" s="142"/>
      <c r="BB24" s="142"/>
      <c r="BC24" s="141"/>
      <c r="BD24" s="142"/>
      <c r="BE24" s="142"/>
      <c r="BF24" s="142"/>
      <c r="BG24" s="142"/>
      <c r="BH24" s="142"/>
      <c r="BI24" s="142"/>
      <c r="BJ24" s="142"/>
      <c r="BK24" s="142"/>
      <c r="BL24" s="141"/>
      <c r="BM24" s="142"/>
      <c r="BN24" s="142"/>
      <c r="BO24" s="142"/>
      <c r="BP24" s="142"/>
      <c r="BQ24" s="142"/>
      <c r="BR24" s="142"/>
      <c r="BS24" s="142"/>
      <c r="BT24" s="142"/>
      <c r="BU24" s="141"/>
      <c r="BV24" s="142"/>
      <c r="BW24" s="142"/>
      <c r="BX24" s="142"/>
      <c r="BY24" s="142"/>
      <c r="BZ24" s="142"/>
      <c r="CA24" s="142"/>
      <c r="CB24" s="142"/>
      <c r="CC24" s="142"/>
      <c r="CD24" s="141"/>
      <c r="CE24" s="142"/>
      <c r="CF24" s="142"/>
      <c r="CG24" s="142"/>
      <c r="CH24" s="142"/>
      <c r="CI24" s="142"/>
      <c r="CJ24" s="142"/>
      <c r="CK24" s="142"/>
      <c r="CL24" s="142"/>
      <c r="CM24" s="141"/>
      <c r="CN24" s="142"/>
      <c r="CO24" s="142"/>
      <c r="CP24" s="142"/>
      <c r="CQ24" s="142"/>
      <c r="CR24" s="142"/>
      <c r="CS24" s="142"/>
      <c r="CT24" s="142"/>
      <c r="CU24" s="157"/>
      <c r="CV24" s="37"/>
    </row>
    <row r="25" spans="1:100" ht="12" customHeight="1" x14ac:dyDescent="0.25">
      <c r="A25" s="146"/>
      <c r="B25" s="146"/>
      <c r="C25" s="146"/>
      <c r="D25" s="146"/>
      <c r="E25" s="146"/>
      <c r="F25" s="146"/>
      <c r="G25" s="146"/>
      <c r="H25" s="146"/>
      <c r="I25" s="147"/>
      <c r="J25" s="141"/>
      <c r="K25" s="142"/>
      <c r="L25" s="142"/>
      <c r="M25" s="142"/>
      <c r="N25" s="142"/>
      <c r="O25" s="142"/>
      <c r="P25" s="142"/>
      <c r="Q25" s="142"/>
      <c r="R25" s="142"/>
      <c r="S25" s="141"/>
      <c r="T25" s="142"/>
      <c r="U25" s="142"/>
      <c r="V25" s="142"/>
      <c r="W25" s="142"/>
      <c r="X25" s="142"/>
      <c r="Y25" s="142"/>
      <c r="Z25" s="142"/>
      <c r="AA25" s="142"/>
      <c r="AB25" s="141"/>
      <c r="AC25" s="142"/>
      <c r="AD25" s="142"/>
      <c r="AE25" s="142"/>
      <c r="AF25" s="142"/>
      <c r="AG25" s="142"/>
      <c r="AH25" s="142"/>
      <c r="AI25" s="142"/>
      <c r="AJ25" s="142"/>
      <c r="AK25" s="141"/>
      <c r="AL25" s="142"/>
      <c r="AM25" s="142"/>
      <c r="AN25" s="142"/>
      <c r="AO25" s="142"/>
      <c r="AP25" s="142"/>
      <c r="AQ25" s="142"/>
      <c r="AR25" s="142"/>
      <c r="AS25" s="142"/>
      <c r="AT25" s="141"/>
      <c r="AU25" s="142"/>
      <c r="AV25" s="142"/>
      <c r="AW25" s="142"/>
      <c r="AX25" s="142"/>
      <c r="AY25" s="142"/>
      <c r="AZ25" s="142"/>
      <c r="BA25" s="142"/>
      <c r="BB25" s="142"/>
      <c r="BC25" s="141"/>
      <c r="BD25" s="142"/>
      <c r="BE25" s="142"/>
      <c r="BF25" s="142"/>
      <c r="BG25" s="142"/>
      <c r="BH25" s="142"/>
      <c r="BI25" s="142"/>
      <c r="BJ25" s="142"/>
      <c r="BK25" s="142"/>
      <c r="BL25" s="141"/>
      <c r="BM25" s="142"/>
      <c r="BN25" s="142"/>
      <c r="BO25" s="142"/>
      <c r="BP25" s="142"/>
      <c r="BQ25" s="142"/>
      <c r="BR25" s="142"/>
      <c r="BS25" s="142"/>
      <c r="BT25" s="142"/>
      <c r="BU25" s="141"/>
      <c r="BV25" s="142"/>
      <c r="BW25" s="142"/>
      <c r="BX25" s="142"/>
      <c r="BY25" s="142"/>
      <c r="BZ25" s="142"/>
      <c r="CA25" s="142"/>
      <c r="CB25" s="142"/>
      <c r="CC25" s="142"/>
      <c r="CD25" s="141"/>
      <c r="CE25" s="142"/>
      <c r="CF25" s="142"/>
      <c r="CG25" s="142"/>
      <c r="CH25" s="142"/>
      <c r="CI25" s="142"/>
      <c r="CJ25" s="142"/>
      <c r="CK25" s="142"/>
      <c r="CL25" s="142"/>
      <c r="CM25" s="141"/>
      <c r="CN25" s="142"/>
      <c r="CO25" s="142"/>
      <c r="CP25" s="142"/>
      <c r="CQ25" s="142"/>
      <c r="CR25" s="142"/>
      <c r="CS25" s="142"/>
      <c r="CT25" s="142"/>
      <c r="CU25" s="157"/>
      <c r="CV25" s="37"/>
    </row>
    <row r="26" spans="1:100" ht="12" customHeight="1" x14ac:dyDescent="0.25">
      <c r="A26" s="146"/>
      <c r="B26" s="146"/>
      <c r="C26" s="146"/>
      <c r="D26" s="146"/>
      <c r="E26" s="146"/>
      <c r="F26" s="146"/>
      <c r="G26" s="146"/>
      <c r="H26" s="146"/>
      <c r="I26" s="147"/>
      <c r="J26" s="141"/>
      <c r="K26" s="142"/>
      <c r="L26" s="142"/>
      <c r="M26" s="142"/>
      <c r="N26" s="142"/>
      <c r="O26" s="142"/>
      <c r="P26" s="142"/>
      <c r="Q26" s="142"/>
      <c r="R26" s="142"/>
      <c r="S26" s="141"/>
      <c r="T26" s="142"/>
      <c r="U26" s="142"/>
      <c r="V26" s="142"/>
      <c r="W26" s="142"/>
      <c r="X26" s="142"/>
      <c r="Y26" s="142"/>
      <c r="Z26" s="142"/>
      <c r="AA26" s="142"/>
      <c r="AB26" s="141"/>
      <c r="AC26" s="142"/>
      <c r="AD26" s="142"/>
      <c r="AE26" s="142"/>
      <c r="AF26" s="142"/>
      <c r="AG26" s="142"/>
      <c r="AH26" s="142"/>
      <c r="AI26" s="142"/>
      <c r="AJ26" s="142"/>
      <c r="AK26" s="141"/>
      <c r="AL26" s="142"/>
      <c r="AM26" s="142"/>
      <c r="AN26" s="142"/>
      <c r="AO26" s="142"/>
      <c r="AP26" s="142"/>
      <c r="AQ26" s="142"/>
      <c r="AR26" s="142"/>
      <c r="AS26" s="142"/>
      <c r="AT26" s="141"/>
      <c r="AU26" s="142"/>
      <c r="AV26" s="142"/>
      <c r="AW26" s="142"/>
      <c r="AX26" s="142"/>
      <c r="AY26" s="142"/>
      <c r="AZ26" s="142"/>
      <c r="BA26" s="142"/>
      <c r="BB26" s="142"/>
      <c r="BC26" s="141"/>
      <c r="BD26" s="142"/>
      <c r="BE26" s="142"/>
      <c r="BF26" s="142"/>
      <c r="BG26" s="142"/>
      <c r="BH26" s="142"/>
      <c r="BI26" s="142"/>
      <c r="BJ26" s="142"/>
      <c r="BK26" s="142"/>
      <c r="BL26" s="141"/>
      <c r="BM26" s="142"/>
      <c r="BN26" s="142"/>
      <c r="BO26" s="142"/>
      <c r="BP26" s="142"/>
      <c r="BQ26" s="142"/>
      <c r="BR26" s="142"/>
      <c r="BS26" s="142"/>
      <c r="BT26" s="142"/>
      <c r="BU26" s="141"/>
      <c r="BV26" s="142"/>
      <c r="BW26" s="142"/>
      <c r="BX26" s="142"/>
      <c r="BY26" s="142"/>
      <c r="BZ26" s="142"/>
      <c r="CA26" s="142"/>
      <c r="CB26" s="142"/>
      <c r="CC26" s="142"/>
      <c r="CD26" s="141"/>
      <c r="CE26" s="142"/>
      <c r="CF26" s="142"/>
      <c r="CG26" s="142"/>
      <c r="CH26" s="142"/>
      <c r="CI26" s="142"/>
      <c r="CJ26" s="142"/>
      <c r="CK26" s="142"/>
      <c r="CL26" s="142"/>
      <c r="CM26" s="141"/>
      <c r="CN26" s="142"/>
      <c r="CO26" s="142"/>
      <c r="CP26" s="142"/>
      <c r="CQ26" s="142"/>
      <c r="CR26" s="142"/>
      <c r="CS26" s="142"/>
      <c r="CT26" s="142"/>
      <c r="CU26" s="157"/>
      <c r="CV26" s="37"/>
    </row>
    <row r="27" spans="1:100" ht="12" customHeight="1" x14ac:dyDescent="0.25">
      <c r="A27" s="146"/>
      <c r="B27" s="146"/>
      <c r="C27" s="146"/>
      <c r="D27" s="146"/>
      <c r="E27" s="146"/>
      <c r="F27" s="146"/>
      <c r="G27" s="146"/>
      <c r="H27" s="146"/>
      <c r="I27" s="147"/>
      <c r="J27" s="141"/>
      <c r="K27" s="142"/>
      <c r="L27" s="142"/>
      <c r="M27" s="142"/>
      <c r="N27" s="142"/>
      <c r="O27" s="142"/>
      <c r="P27" s="142"/>
      <c r="Q27" s="142"/>
      <c r="R27" s="142"/>
      <c r="S27" s="141"/>
      <c r="T27" s="142"/>
      <c r="U27" s="142"/>
      <c r="V27" s="142"/>
      <c r="W27" s="142"/>
      <c r="X27" s="142"/>
      <c r="Y27" s="142"/>
      <c r="Z27" s="142"/>
      <c r="AA27" s="142"/>
      <c r="AB27" s="141"/>
      <c r="AC27" s="142"/>
      <c r="AD27" s="142"/>
      <c r="AE27" s="142"/>
      <c r="AF27" s="142"/>
      <c r="AG27" s="142"/>
      <c r="AH27" s="142"/>
      <c r="AI27" s="142"/>
      <c r="AJ27" s="142"/>
      <c r="AK27" s="141"/>
      <c r="AL27" s="142"/>
      <c r="AM27" s="142"/>
      <c r="AN27" s="142"/>
      <c r="AO27" s="142"/>
      <c r="AP27" s="142"/>
      <c r="AQ27" s="142"/>
      <c r="AR27" s="142"/>
      <c r="AS27" s="142"/>
      <c r="AT27" s="141"/>
      <c r="AU27" s="142"/>
      <c r="AV27" s="142"/>
      <c r="AW27" s="142"/>
      <c r="AX27" s="142"/>
      <c r="AY27" s="142"/>
      <c r="AZ27" s="142"/>
      <c r="BA27" s="142"/>
      <c r="BB27" s="142"/>
      <c r="BC27" s="141"/>
      <c r="BD27" s="142"/>
      <c r="BE27" s="142"/>
      <c r="BF27" s="142"/>
      <c r="BG27" s="142"/>
      <c r="BH27" s="142"/>
      <c r="BI27" s="142"/>
      <c r="BJ27" s="142"/>
      <c r="BK27" s="142"/>
      <c r="BL27" s="141"/>
      <c r="BM27" s="142"/>
      <c r="BN27" s="142"/>
      <c r="BO27" s="142"/>
      <c r="BP27" s="142"/>
      <c r="BQ27" s="142"/>
      <c r="BR27" s="142"/>
      <c r="BS27" s="142"/>
      <c r="BT27" s="142"/>
      <c r="BU27" s="141"/>
      <c r="BV27" s="142"/>
      <c r="BW27" s="142"/>
      <c r="BX27" s="142"/>
      <c r="BY27" s="142"/>
      <c r="BZ27" s="142"/>
      <c r="CA27" s="142"/>
      <c r="CB27" s="142"/>
      <c r="CC27" s="142"/>
      <c r="CD27" s="141"/>
      <c r="CE27" s="142"/>
      <c r="CF27" s="142"/>
      <c r="CG27" s="142"/>
      <c r="CH27" s="142"/>
      <c r="CI27" s="142"/>
      <c r="CJ27" s="142"/>
      <c r="CK27" s="142"/>
      <c r="CL27" s="142"/>
      <c r="CM27" s="141"/>
      <c r="CN27" s="142"/>
      <c r="CO27" s="142"/>
      <c r="CP27" s="142"/>
      <c r="CQ27" s="142"/>
      <c r="CR27" s="142"/>
      <c r="CS27" s="142"/>
      <c r="CT27" s="142"/>
      <c r="CU27" s="157"/>
      <c r="CV27" s="37"/>
    </row>
    <row r="28" spans="1:100" ht="12" customHeight="1" x14ac:dyDescent="0.25">
      <c r="A28" s="146"/>
      <c r="B28" s="146"/>
      <c r="C28" s="146"/>
      <c r="D28" s="146"/>
      <c r="E28" s="146"/>
      <c r="F28" s="146"/>
      <c r="G28" s="146"/>
      <c r="H28" s="146"/>
      <c r="I28" s="147"/>
      <c r="J28" s="141"/>
      <c r="K28" s="142"/>
      <c r="L28" s="142"/>
      <c r="M28" s="142"/>
      <c r="N28" s="142"/>
      <c r="O28" s="142"/>
      <c r="P28" s="142"/>
      <c r="Q28" s="142"/>
      <c r="R28" s="142"/>
      <c r="S28" s="141"/>
      <c r="T28" s="142"/>
      <c r="U28" s="142"/>
      <c r="V28" s="142"/>
      <c r="W28" s="142"/>
      <c r="X28" s="142"/>
      <c r="Y28" s="142"/>
      <c r="Z28" s="142"/>
      <c r="AA28" s="142"/>
      <c r="AB28" s="141"/>
      <c r="AC28" s="142"/>
      <c r="AD28" s="142"/>
      <c r="AE28" s="142"/>
      <c r="AF28" s="142"/>
      <c r="AG28" s="142"/>
      <c r="AH28" s="142"/>
      <c r="AI28" s="142"/>
      <c r="AJ28" s="142"/>
      <c r="AK28" s="141"/>
      <c r="AL28" s="142"/>
      <c r="AM28" s="142"/>
      <c r="AN28" s="142"/>
      <c r="AO28" s="142"/>
      <c r="AP28" s="142"/>
      <c r="AQ28" s="142"/>
      <c r="AR28" s="142"/>
      <c r="AS28" s="142"/>
      <c r="AT28" s="141"/>
      <c r="AU28" s="142"/>
      <c r="AV28" s="142"/>
      <c r="AW28" s="142"/>
      <c r="AX28" s="142"/>
      <c r="AY28" s="142"/>
      <c r="AZ28" s="142"/>
      <c r="BA28" s="142"/>
      <c r="BB28" s="142"/>
      <c r="BC28" s="141"/>
      <c r="BD28" s="142"/>
      <c r="BE28" s="142"/>
      <c r="BF28" s="142"/>
      <c r="BG28" s="142"/>
      <c r="BH28" s="142"/>
      <c r="BI28" s="142"/>
      <c r="BJ28" s="142"/>
      <c r="BK28" s="142"/>
      <c r="BL28" s="141"/>
      <c r="BM28" s="142"/>
      <c r="BN28" s="142"/>
      <c r="BO28" s="142"/>
      <c r="BP28" s="142"/>
      <c r="BQ28" s="142"/>
      <c r="BR28" s="142"/>
      <c r="BS28" s="142"/>
      <c r="BT28" s="142"/>
      <c r="BU28" s="141"/>
      <c r="BV28" s="142"/>
      <c r="BW28" s="142"/>
      <c r="BX28" s="142"/>
      <c r="BY28" s="142"/>
      <c r="BZ28" s="142"/>
      <c r="CA28" s="142"/>
      <c r="CB28" s="142"/>
      <c r="CC28" s="142"/>
      <c r="CD28" s="141"/>
      <c r="CE28" s="142"/>
      <c r="CF28" s="142"/>
      <c r="CG28" s="142"/>
      <c r="CH28" s="142"/>
      <c r="CI28" s="142"/>
      <c r="CJ28" s="142"/>
      <c r="CK28" s="142"/>
      <c r="CL28" s="142"/>
      <c r="CM28" s="141"/>
      <c r="CN28" s="142"/>
      <c r="CO28" s="142"/>
      <c r="CP28" s="142"/>
      <c r="CQ28" s="142"/>
      <c r="CR28" s="142"/>
      <c r="CS28" s="142"/>
      <c r="CT28" s="142"/>
      <c r="CU28" s="157"/>
      <c r="CV28" s="37"/>
    </row>
    <row r="29" spans="1:100" ht="12" customHeight="1" x14ac:dyDescent="0.25">
      <c r="A29" s="146"/>
      <c r="B29" s="146"/>
      <c r="C29" s="146"/>
      <c r="D29" s="146"/>
      <c r="E29" s="146"/>
      <c r="F29" s="146"/>
      <c r="G29" s="146"/>
      <c r="H29" s="146"/>
      <c r="I29" s="147"/>
      <c r="J29" s="141"/>
      <c r="K29" s="142"/>
      <c r="L29" s="142"/>
      <c r="M29" s="142"/>
      <c r="N29" s="142"/>
      <c r="O29" s="142"/>
      <c r="P29" s="142"/>
      <c r="Q29" s="142"/>
      <c r="R29" s="142"/>
      <c r="S29" s="141"/>
      <c r="T29" s="142"/>
      <c r="U29" s="142"/>
      <c r="V29" s="142"/>
      <c r="W29" s="142"/>
      <c r="X29" s="142"/>
      <c r="Y29" s="142"/>
      <c r="Z29" s="142"/>
      <c r="AA29" s="142"/>
      <c r="AB29" s="141"/>
      <c r="AC29" s="142"/>
      <c r="AD29" s="142"/>
      <c r="AE29" s="142"/>
      <c r="AF29" s="142"/>
      <c r="AG29" s="142"/>
      <c r="AH29" s="142"/>
      <c r="AI29" s="142"/>
      <c r="AJ29" s="142"/>
      <c r="AK29" s="141"/>
      <c r="AL29" s="142"/>
      <c r="AM29" s="142"/>
      <c r="AN29" s="142"/>
      <c r="AO29" s="142"/>
      <c r="AP29" s="142"/>
      <c r="AQ29" s="142"/>
      <c r="AR29" s="142"/>
      <c r="AS29" s="142"/>
      <c r="AT29" s="141"/>
      <c r="AU29" s="142"/>
      <c r="AV29" s="142"/>
      <c r="AW29" s="142"/>
      <c r="AX29" s="142"/>
      <c r="AY29" s="142"/>
      <c r="AZ29" s="142"/>
      <c r="BA29" s="142"/>
      <c r="BB29" s="142"/>
      <c r="BC29" s="141"/>
      <c r="BD29" s="142"/>
      <c r="BE29" s="142"/>
      <c r="BF29" s="142"/>
      <c r="BG29" s="142"/>
      <c r="BH29" s="142"/>
      <c r="BI29" s="142"/>
      <c r="BJ29" s="142"/>
      <c r="BK29" s="142"/>
      <c r="BL29" s="141"/>
      <c r="BM29" s="142"/>
      <c r="BN29" s="142"/>
      <c r="BO29" s="142"/>
      <c r="BP29" s="142"/>
      <c r="BQ29" s="142"/>
      <c r="BR29" s="142"/>
      <c r="BS29" s="142"/>
      <c r="BT29" s="142"/>
      <c r="BU29" s="141"/>
      <c r="BV29" s="142"/>
      <c r="BW29" s="142"/>
      <c r="BX29" s="142"/>
      <c r="BY29" s="142"/>
      <c r="BZ29" s="142"/>
      <c r="CA29" s="142"/>
      <c r="CB29" s="142"/>
      <c r="CC29" s="142"/>
      <c r="CD29" s="141"/>
      <c r="CE29" s="142"/>
      <c r="CF29" s="142"/>
      <c r="CG29" s="142"/>
      <c r="CH29" s="142"/>
      <c r="CI29" s="142"/>
      <c r="CJ29" s="142"/>
      <c r="CK29" s="142"/>
      <c r="CL29" s="142"/>
      <c r="CM29" s="141"/>
      <c r="CN29" s="142"/>
      <c r="CO29" s="142"/>
      <c r="CP29" s="142"/>
      <c r="CQ29" s="142"/>
      <c r="CR29" s="142"/>
      <c r="CS29" s="142"/>
      <c r="CT29" s="142"/>
      <c r="CU29" s="157"/>
      <c r="CV29" s="37"/>
    </row>
    <row r="30" spans="1:100" ht="12" customHeight="1" x14ac:dyDescent="0.25">
      <c r="A30" s="115" t="s">
        <v>151</v>
      </c>
      <c r="B30" s="115"/>
      <c r="C30" s="115"/>
      <c r="D30" s="115"/>
      <c r="E30" s="115"/>
      <c r="F30" s="115"/>
      <c r="G30" s="115"/>
      <c r="H30" s="115"/>
      <c r="I30" s="116"/>
      <c r="J30" s="127" t="s">
        <v>177</v>
      </c>
      <c r="K30" s="128"/>
      <c r="L30" s="128"/>
      <c r="M30" s="128"/>
      <c r="N30" s="128"/>
      <c r="O30" s="128"/>
      <c r="P30" s="128"/>
      <c r="Q30" s="128"/>
      <c r="R30" s="128"/>
      <c r="S30" s="127" t="s">
        <v>251</v>
      </c>
      <c r="T30" s="128"/>
      <c r="U30" s="128"/>
      <c r="V30" s="128"/>
      <c r="W30" s="128"/>
      <c r="X30" s="128"/>
      <c r="Y30" s="128"/>
      <c r="Z30" s="128"/>
      <c r="AA30" s="128"/>
      <c r="AB30" s="127" t="s">
        <v>212</v>
      </c>
      <c r="AC30" s="128"/>
      <c r="AD30" s="128"/>
      <c r="AE30" s="128"/>
      <c r="AF30" s="128"/>
      <c r="AG30" s="128"/>
      <c r="AH30" s="128"/>
      <c r="AI30" s="128"/>
      <c r="AJ30" s="128"/>
      <c r="AK30" s="127" t="s">
        <v>230</v>
      </c>
      <c r="AL30" s="128"/>
      <c r="AM30" s="128"/>
      <c r="AN30" s="128"/>
      <c r="AO30" s="128"/>
      <c r="AP30" s="128"/>
      <c r="AQ30" s="128"/>
      <c r="AR30" s="128"/>
      <c r="AS30" s="128"/>
      <c r="AT30" s="127" t="s">
        <v>185</v>
      </c>
      <c r="AU30" s="128"/>
      <c r="AV30" s="128"/>
      <c r="AW30" s="128"/>
      <c r="AX30" s="128"/>
      <c r="AY30" s="128"/>
      <c r="AZ30" s="128"/>
      <c r="BA30" s="128"/>
      <c r="BB30" s="128"/>
      <c r="BC30" s="127" t="s">
        <v>195</v>
      </c>
      <c r="BD30" s="128"/>
      <c r="BE30" s="128"/>
      <c r="BF30" s="128"/>
      <c r="BG30" s="128"/>
      <c r="BH30" s="128"/>
      <c r="BI30" s="128"/>
      <c r="BJ30" s="128"/>
      <c r="BK30" s="128"/>
      <c r="BL30" s="127" t="s">
        <v>204</v>
      </c>
      <c r="BM30" s="128"/>
      <c r="BN30" s="128"/>
      <c r="BO30" s="128"/>
      <c r="BP30" s="128"/>
      <c r="BQ30" s="128"/>
      <c r="BR30" s="128"/>
      <c r="BS30" s="128"/>
      <c r="BT30" s="128"/>
      <c r="BU30" s="127" t="s">
        <v>221</v>
      </c>
      <c r="BV30" s="128"/>
      <c r="BW30" s="128"/>
      <c r="BX30" s="128"/>
      <c r="BY30" s="128"/>
      <c r="BZ30" s="128"/>
      <c r="CA30" s="128"/>
      <c r="CB30" s="128"/>
      <c r="CC30" s="128"/>
      <c r="CD30" s="127" t="s">
        <v>237</v>
      </c>
      <c r="CE30" s="128"/>
      <c r="CF30" s="128"/>
      <c r="CG30" s="128"/>
      <c r="CH30" s="128"/>
      <c r="CI30" s="128"/>
      <c r="CJ30" s="128"/>
      <c r="CK30" s="128"/>
      <c r="CL30" s="128"/>
      <c r="CM30" s="127" t="s">
        <v>244</v>
      </c>
      <c r="CN30" s="128"/>
      <c r="CO30" s="128"/>
      <c r="CP30" s="128"/>
      <c r="CQ30" s="128"/>
      <c r="CR30" s="128"/>
      <c r="CS30" s="128"/>
      <c r="CT30" s="128"/>
      <c r="CU30" s="128"/>
      <c r="CV30" s="37"/>
    </row>
    <row r="31" spans="1:100" ht="12" customHeight="1" x14ac:dyDescent="0.25">
      <c r="A31" s="115"/>
      <c r="B31" s="115"/>
      <c r="C31" s="115"/>
      <c r="D31" s="115"/>
      <c r="E31" s="115"/>
      <c r="F31" s="115"/>
      <c r="G31" s="115"/>
      <c r="H31" s="115"/>
      <c r="I31" s="116"/>
      <c r="J31" s="127"/>
      <c r="K31" s="128"/>
      <c r="L31" s="128"/>
      <c r="M31" s="128"/>
      <c r="N31" s="128"/>
      <c r="O31" s="128"/>
      <c r="P31" s="128"/>
      <c r="Q31" s="128"/>
      <c r="R31" s="128"/>
      <c r="S31" s="127"/>
      <c r="T31" s="128"/>
      <c r="U31" s="128"/>
      <c r="V31" s="128"/>
      <c r="W31" s="128"/>
      <c r="X31" s="128"/>
      <c r="Y31" s="128"/>
      <c r="Z31" s="128"/>
      <c r="AA31" s="128"/>
      <c r="AB31" s="127"/>
      <c r="AC31" s="128"/>
      <c r="AD31" s="128"/>
      <c r="AE31" s="128"/>
      <c r="AF31" s="128"/>
      <c r="AG31" s="128"/>
      <c r="AH31" s="128"/>
      <c r="AI31" s="128"/>
      <c r="AJ31" s="128"/>
      <c r="AK31" s="127"/>
      <c r="AL31" s="128"/>
      <c r="AM31" s="128"/>
      <c r="AN31" s="128"/>
      <c r="AO31" s="128"/>
      <c r="AP31" s="128"/>
      <c r="AQ31" s="128"/>
      <c r="AR31" s="128"/>
      <c r="AS31" s="128"/>
      <c r="AT31" s="127"/>
      <c r="AU31" s="128"/>
      <c r="AV31" s="128"/>
      <c r="AW31" s="128"/>
      <c r="AX31" s="128"/>
      <c r="AY31" s="128"/>
      <c r="AZ31" s="128"/>
      <c r="BA31" s="128"/>
      <c r="BB31" s="128"/>
      <c r="BC31" s="127"/>
      <c r="BD31" s="128"/>
      <c r="BE31" s="128"/>
      <c r="BF31" s="128"/>
      <c r="BG31" s="128"/>
      <c r="BH31" s="128"/>
      <c r="BI31" s="128"/>
      <c r="BJ31" s="128"/>
      <c r="BK31" s="128"/>
      <c r="BL31" s="127"/>
      <c r="BM31" s="128"/>
      <c r="BN31" s="128"/>
      <c r="BO31" s="128"/>
      <c r="BP31" s="128"/>
      <c r="BQ31" s="128"/>
      <c r="BR31" s="128"/>
      <c r="BS31" s="128"/>
      <c r="BT31" s="128"/>
      <c r="BU31" s="127"/>
      <c r="BV31" s="128"/>
      <c r="BW31" s="128"/>
      <c r="BX31" s="128"/>
      <c r="BY31" s="128"/>
      <c r="BZ31" s="128"/>
      <c r="CA31" s="128"/>
      <c r="CB31" s="128"/>
      <c r="CC31" s="128"/>
      <c r="CD31" s="127"/>
      <c r="CE31" s="128"/>
      <c r="CF31" s="128"/>
      <c r="CG31" s="128"/>
      <c r="CH31" s="128"/>
      <c r="CI31" s="128"/>
      <c r="CJ31" s="128"/>
      <c r="CK31" s="128"/>
      <c r="CL31" s="128"/>
      <c r="CM31" s="127"/>
      <c r="CN31" s="128"/>
      <c r="CO31" s="128"/>
      <c r="CP31" s="128"/>
      <c r="CQ31" s="128"/>
      <c r="CR31" s="128"/>
      <c r="CS31" s="128"/>
      <c r="CT31" s="128"/>
      <c r="CU31" s="128"/>
      <c r="CV31" s="37"/>
    </row>
    <row r="32" spans="1:100" ht="12" customHeight="1" x14ac:dyDescent="0.25">
      <c r="A32" s="111" t="s">
        <v>344</v>
      </c>
      <c r="B32" s="111"/>
      <c r="C32" s="111"/>
      <c r="D32" s="111"/>
      <c r="E32" s="111"/>
      <c r="F32" s="111"/>
      <c r="G32" s="111"/>
      <c r="H32" s="111"/>
      <c r="I32" s="112"/>
      <c r="J32" s="102" t="s">
        <v>812</v>
      </c>
      <c r="K32" s="103"/>
      <c r="L32" s="103"/>
      <c r="M32" s="103"/>
      <c r="N32" s="103"/>
      <c r="O32" s="103"/>
      <c r="P32" s="103"/>
      <c r="Q32" s="103"/>
      <c r="R32" s="103"/>
      <c r="S32" s="102" t="s">
        <v>813</v>
      </c>
      <c r="T32" s="103"/>
      <c r="U32" s="103"/>
      <c r="V32" s="103"/>
      <c r="W32" s="103"/>
      <c r="X32" s="103"/>
      <c r="Y32" s="103"/>
      <c r="Z32" s="103"/>
      <c r="AA32" s="103"/>
      <c r="AB32" s="102" t="s">
        <v>814</v>
      </c>
      <c r="AC32" s="103"/>
      <c r="AD32" s="103"/>
      <c r="AE32" s="103"/>
      <c r="AF32" s="103"/>
      <c r="AG32" s="103"/>
      <c r="AH32" s="103"/>
      <c r="AI32" s="103"/>
      <c r="AJ32" s="103"/>
      <c r="AK32" s="102" t="s">
        <v>815</v>
      </c>
      <c r="AL32" s="103"/>
      <c r="AM32" s="103"/>
      <c r="AN32" s="103"/>
      <c r="AO32" s="103"/>
      <c r="AP32" s="103"/>
      <c r="AQ32" s="103"/>
      <c r="AR32" s="103"/>
      <c r="AS32" s="103"/>
      <c r="AT32" s="102" t="s">
        <v>346</v>
      </c>
      <c r="AU32" s="103"/>
      <c r="AV32" s="103"/>
      <c r="AW32" s="103"/>
      <c r="AX32" s="103"/>
      <c r="AY32" s="103"/>
      <c r="AZ32" s="103"/>
      <c r="BA32" s="103"/>
      <c r="BB32" s="103"/>
      <c r="BC32" s="102" t="s">
        <v>345</v>
      </c>
      <c r="BD32" s="103"/>
      <c r="BE32" s="103"/>
      <c r="BF32" s="103"/>
      <c r="BG32" s="103"/>
      <c r="BH32" s="103"/>
      <c r="BI32" s="103"/>
      <c r="BJ32" s="103"/>
      <c r="BK32" s="103"/>
      <c r="BL32" s="102" t="s">
        <v>816</v>
      </c>
      <c r="BM32" s="103"/>
      <c r="BN32" s="103"/>
      <c r="BO32" s="103"/>
      <c r="BP32" s="103"/>
      <c r="BQ32" s="103"/>
      <c r="BR32" s="103"/>
      <c r="BS32" s="103"/>
      <c r="BT32" s="103"/>
      <c r="BU32" s="102" t="s">
        <v>817</v>
      </c>
      <c r="BV32" s="103"/>
      <c r="BW32" s="103"/>
      <c r="BX32" s="103"/>
      <c r="BY32" s="103"/>
      <c r="BZ32" s="103"/>
      <c r="CA32" s="103"/>
      <c r="CB32" s="103"/>
      <c r="CC32" s="103"/>
      <c r="CD32" s="102" t="s">
        <v>818</v>
      </c>
      <c r="CE32" s="103"/>
      <c r="CF32" s="103"/>
      <c r="CG32" s="103"/>
      <c r="CH32" s="103"/>
      <c r="CI32" s="103"/>
      <c r="CJ32" s="103"/>
      <c r="CK32" s="103"/>
      <c r="CL32" s="103"/>
      <c r="CM32" s="102" t="s">
        <v>819</v>
      </c>
      <c r="CN32" s="103"/>
      <c r="CO32" s="103"/>
      <c r="CP32" s="103"/>
      <c r="CQ32" s="103"/>
      <c r="CR32" s="103"/>
      <c r="CS32" s="103"/>
      <c r="CT32" s="103"/>
      <c r="CU32" s="104"/>
      <c r="CV32" s="37"/>
    </row>
    <row r="33" spans="1:100" ht="12" customHeight="1" x14ac:dyDescent="0.25">
      <c r="A33" s="111" t="s">
        <v>153</v>
      </c>
      <c r="B33" s="111"/>
      <c r="C33" s="111"/>
      <c r="D33" s="111"/>
      <c r="E33" s="111"/>
      <c r="F33" s="111"/>
      <c r="G33" s="111"/>
      <c r="H33" s="111"/>
      <c r="I33" s="112"/>
      <c r="J33" s="143">
        <v>800</v>
      </c>
      <c r="K33" s="144"/>
      <c r="L33" s="144"/>
      <c r="M33" s="144"/>
      <c r="N33" s="144"/>
      <c r="O33" s="144"/>
      <c r="P33" s="144"/>
      <c r="Q33" s="144"/>
      <c r="R33" s="144"/>
      <c r="S33" s="143">
        <v>55</v>
      </c>
      <c r="T33" s="144"/>
      <c r="U33" s="144"/>
      <c r="V33" s="144"/>
      <c r="W33" s="144"/>
      <c r="X33" s="144"/>
      <c r="Y33" s="144"/>
      <c r="Z33" s="144"/>
      <c r="AA33" s="144"/>
      <c r="AB33" s="143">
        <v>345</v>
      </c>
      <c r="AC33" s="144"/>
      <c r="AD33" s="144"/>
      <c r="AE33" s="144"/>
      <c r="AF33" s="144"/>
      <c r="AG33" s="144"/>
      <c r="AH33" s="144"/>
      <c r="AI33" s="144"/>
      <c r="AJ33" s="144"/>
      <c r="AK33" s="143">
        <v>200</v>
      </c>
      <c r="AL33" s="144"/>
      <c r="AM33" s="144"/>
      <c r="AN33" s="144"/>
      <c r="AO33" s="144"/>
      <c r="AP33" s="144"/>
      <c r="AQ33" s="144"/>
      <c r="AR33" s="144"/>
      <c r="AS33" s="144"/>
      <c r="AT33" s="143">
        <v>165</v>
      </c>
      <c r="AU33" s="144"/>
      <c r="AV33" s="144"/>
      <c r="AW33" s="144"/>
      <c r="AX33" s="144"/>
      <c r="AY33" s="144"/>
      <c r="AZ33" s="144"/>
      <c r="BA33" s="144"/>
      <c r="BB33" s="144"/>
      <c r="BC33" s="143">
        <v>245</v>
      </c>
      <c r="BD33" s="144"/>
      <c r="BE33" s="144"/>
      <c r="BF33" s="144"/>
      <c r="BG33" s="144"/>
      <c r="BH33" s="144"/>
      <c r="BI33" s="144"/>
      <c r="BJ33" s="144"/>
      <c r="BK33" s="144"/>
      <c r="BL33" s="143">
        <v>232</v>
      </c>
      <c r="BM33" s="144"/>
      <c r="BN33" s="144"/>
      <c r="BO33" s="144"/>
      <c r="BP33" s="144"/>
      <c r="BQ33" s="144"/>
      <c r="BR33" s="144"/>
      <c r="BS33" s="144"/>
      <c r="BT33" s="144"/>
      <c r="BU33" s="143">
        <v>190</v>
      </c>
      <c r="BV33" s="144"/>
      <c r="BW33" s="144"/>
      <c r="BX33" s="144"/>
      <c r="BY33" s="144"/>
      <c r="BZ33" s="144"/>
      <c r="CA33" s="144"/>
      <c r="CB33" s="144"/>
      <c r="CC33" s="144"/>
      <c r="CD33" s="143">
        <v>185</v>
      </c>
      <c r="CE33" s="144"/>
      <c r="CF33" s="144"/>
      <c r="CG33" s="144"/>
      <c r="CH33" s="144"/>
      <c r="CI33" s="144"/>
      <c r="CJ33" s="144"/>
      <c r="CK33" s="144"/>
      <c r="CL33" s="144"/>
      <c r="CM33" s="143">
        <v>170</v>
      </c>
      <c r="CN33" s="144"/>
      <c r="CO33" s="144"/>
      <c r="CP33" s="144"/>
      <c r="CQ33" s="144"/>
      <c r="CR33" s="144"/>
      <c r="CS33" s="144"/>
      <c r="CT33" s="144"/>
      <c r="CU33" s="155"/>
      <c r="CV33" s="37"/>
    </row>
    <row r="34" spans="1:100" ht="12" customHeight="1" x14ac:dyDescent="0.25">
      <c r="A34" s="115" t="s">
        <v>146</v>
      </c>
      <c r="B34" s="115"/>
      <c r="C34" s="115"/>
      <c r="D34" s="115"/>
      <c r="E34" s="115"/>
      <c r="F34" s="115"/>
      <c r="G34" s="115"/>
      <c r="H34" s="115"/>
      <c r="I34" s="116"/>
      <c r="J34" s="127" t="str">
        <f>IFERROR(IF(VLOOKUP(J$11,Encounter[],7,FALSE)=0,"",VLOOKUP(J$11,Encounter[],7,FALSE)),"")</f>
        <v/>
      </c>
      <c r="K34" s="128"/>
      <c r="L34" s="128"/>
      <c r="M34" s="128"/>
      <c r="N34" s="128"/>
      <c r="O34" s="128"/>
      <c r="P34" s="128"/>
      <c r="Q34" s="128"/>
      <c r="R34" s="128"/>
      <c r="S34" s="127" t="str">
        <f>IFERROR(IF(VLOOKUP(S$11,Encounter[],7,FALSE)=0,"",VLOOKUP(S$11,Encounter[],7,FALSE)),"")</f>
        <v/>
      </c>
      <c r="T34" s="128"/>
      <c r="U34" s="128"/>
      <c r="V34" s="128"/>
      <c r="W34" s="128"/>
      <c r="X34" s="128"/>
      <c r="Y34" s="128"/>
      <c r="Z34" s="128"/>
      <c r="AA34" s="128"/>
      <c r="AB34" s="127" t="str">
        <f>IFERROR(IF(VLOOKUP(AB$11,Encounter[],7,FALSE)=0,"",VLOOKUP(AB$11,Encounter[],7,FALSE)),"")</f>
        <v/>
      </c>
      <c r="AC34" s="128"/>
      <c r="AD34" s="128"/>
      <c r="AE34" s="128"/>
      <c r="AF34" s="128"/>
      <c r="AG34" s="128"/>
      <c r="AH34" s="128"/>
      <c r="AI34" s="128"/>
      <c r="AJ34" s="128"/>
      <c r="AK34" s="127" t="str">
        <f>IFERROR(IF(VLOOKUP(AK$11,Encounter[],7,FALSE)=0,"",VLOOKUP(AK$11,Encounter[],7,FALSE)),"")</f>
        <v/>
      </c>
      <c r="AL34" s="128"/>
      <c r="AM34" s="128"/>
      <c r="AN34" s="128"/>
      <c r="AO34" s="128"/>
      <c r="AP34" s="128"/>
      <c r="AQ34" s="128"/>
      <c r="AR34" s="128"/>
      <c r="AS34" s="128"/>
      <c r="AT34" s="127" t="str">
        <f>IFERROR(IF(VLOOKUP(AT$11,Encounter[],7,FALSE)=0,"",VLOOKUP(AT$11,Encounter[],7,FALSE)),"")</f>
        <v/>
      </c>
      <c r="AU34" s="128"/>
      <c r="AV34" s="128"/>
      <c r="AW34" s="128"/>
      <c r="AX34" s="128"/>
      <c r="AY34" s="128"/>
      <c r="AZ34" s="128"/>
      <c r="BA34" s="128"/>
      <c r="BB34" s="128"/>
      <c r="BC34" s="127" t="str">
        <f>IFERROR(IF(VLOOKUP(BC$11,Encounter[],7,FALSE)=0,"",VLOOKUP(BC$11,Encounter[],7,FALSE)),"")</f>
        <v/>
      </c>
      <c r="BD34" s="128"/>
      <c r="BE34" s="128"/>
      <c r="BF34" s="128"/>
      <c r="BG34" s="128"/>
      <c r="BH34" s="128"/>
      <c r="BI34" s="128"/>
      <c r="BJ34" s="128"/>
      <c r="BK34" s="128"/>
      <c r="BL34" s="127" t="str">
        <f>IFERROR(IF(VLOOKUP(BL$11,Encounter[],7,FALSE)=0,"",VLOOKUP(BL$11,Encounter[],7,FALSE)),"")</f>
        <v/>
      </c>
      <c r="BM34" s="128"/>
      <c r="BN34" s="128"/>
      <c r="BO34" s="128"/>
      <c r="BP34" s="128"/>
      <c r="BQ34" s="128"/>
      <c r="BR34" s="128"/>
      <c r="BS34" s="128"/>
      <c r="BT34" s="128"/>
      <c r="BU34" s="127" t="str">
        <f>IFERROR(IF(VLOOKUP(BU$11,Encounter[],7,FALSE)=0,"",VLOOKUP(BU$11,Encounter[],7,FALSE)),"")</f>
        <v/>
      </c>
      <c r="BV34" s="128"/>
      <c r="BW34" s="128"/>
      <c r="BX34" s="128"/>
      <c r="BY34" s="128"/>
      <c r="BZ34" s="128"/>
      <c r="CA34" s="128"/>
      <c r="CB34" s="128"/>
      <c r="CC34" s="128"/>
      <c r="CD34" s="127" t="str">
        <f>IFERROR(IF(VLOOKUP(CD$11,Encounter[],7,FALSE)=0,"",VLOOKUP(CD$11,Encounter[],7,FALSE)),"")</f>
        <v/>
      </c>
      <c r="CE34" s="128"/>
      <c r="CF34" s="128"/>
      <c r="CG34" s="128"/>
      <c r="CH34" s="128"/>
      <c r="CI34" s="128"/>
      <c r="CJ34" s="128"/>
      <c r="CK34" s="128"/>
      <c r="CL34" s="128"/>
      <c r="CM34" s="127" t="str">
        <f>IFERROR(IF(VLOOKUP(CM$11,Encounter[],7,FALSE)=0,"",VLOOKUP(CM$11,Encounter[],7,FALSE)),"")</f>
        <v/>
      </c>
      <c r="CN34" s="128"/>
      <c r="CO34" s="128"/>
      <c r="CP34" s="128"/>
      <c r="CQ34" s="128"/>
      <c r="CR34" s="128"/>
      <c r="CS34" s="128"/>
      <c r="CT34" s="128"/>
      <c r="CU34" s="153"/>
      <c r="CV34" s="37"/>
    </row>
    <row r="35" spans="1:100" ht="12" customHeight="1" x14ac:dyDescent="0.25">
      <c r="A35" s="115"/>
      <c r="B35" s="115"/>
      <c r="C35" s="115"/>
      <c r="D35" s="115"/>
      <c r="E35" s="115"/>
      <c r="F35" s="115"/>
      <c r="G35" s="115"/>
      <c r="H35" s="115"/>
      <c r="I35" s="116"/>
      <c r="J35" s="127"/>
      <c r="K35" s="128"/>
      <c r="L35" s="128"/>
      <c r="M35" s="128"/>
      <c r="N35" s="128"/>
      <c r="O35" s="128"/>
      <c r="P35" s="128"/>
      <c r="Q35" s="128"/>
      <c r="R35" s="128"/>
      <c r="S35" s="127"/>
      <c r="T35" s="128"/>
      <c r="U35" s="128"/>
      <c r="V35" s="128"/>
      <c r="W35" s="128"/>
      <c r="X35" s="128"/>
      <c r="Y35" s="128"/>
      <c r="Z35" s="128"/>
      <c r="AA35" s="128"/>
      <c r="AB35" s="127"/>
      <c r="AC35" s="128"/>
      <c r="AD35" s="128"/>
      <c r="AE35" s="128"/>
      <c r="AF35" s="128"/>
      <c r="AG35" s="128"/>
      <c r="AH35" s="128"/>
      <c r="AI35" s="128"/>
      <c r="AJ35" s="128"/>
      <c r="AK35" s="127"/>
      <c r="AL35" s="128"/>
      <c r="AM35" s="128"/>
      <c r="AN35" s="128"/>
      <c r="AO35" s="128"/>
      <c r="AP35" s="128"/>
      <c r="AQ35" s="128"/>
      <c r="AR35" s="128"/>
      <c r="AS35" s="128"/>
      <c r="AT35" s="127"/>
      <c r="AU35" s="128"/>
      <c r="AV35" s="128"/>
      <c r="AW35" s="128"/>
      <c r="AX35" s="128"/>
      <c r="AY35" s="128"/>
      <c r="AZ35" s="128"/>
      <c r="BA35" s="128"/>
      <c r="BB35" s="128"/>
      <c r="BC35" s="127"/>
      <c r="BD35" s="128"/>
      <c r="BE35" s="128"/>
      <c r="BF35" s="128"/>
      <c r="BG35" s="128"/>
      <c r="BH35" s="128"/>
      <c r="BI35" s="128"/>
      <c r="BJ35" s="128"/>
      <c r="BK35" s="128"/>
      <c r="BL35" s="127"/>
      <c r="BM35" s="128"/>
      <c r="BN35" s="128"/>
      <c r="BO35" s="128"/>
      <c r="BP35" s="128"/>
      <c r="BQ35" s="128"/>
      <c r="BR35" s="128"/>
      <c r="BS35" s="128"/>
      <c r="BT35" s="128"/>
      <c r="BU35" s="127"/>
      <c r="BV35" s="128"/>
      <c r="BW35" s="128"/>
      <c r="BX35" s="128"/>
      <c r="BY35" s="128"/>
      <c r="BZ35" s="128"/>
      <c r="CA35" s="128"/>
      <c r="CB35" s="128"/>
      <c r="CC35" s="128"/>
      <c r="CD35" s="127"/>
      <c r="CE35" s="128"/>
      <c r="CF35" s="128"/>
      <c r="CG35" s="128"/>
      <c r="CH35" s="128"/>
      <c r="CI35" s="128"/>
      <c r="CJ35" s="128"/>
      <c r="CK35" s="128"/>
      <c r="CL35" s="128"/>
      <c r="CM35" s="127"/>
      <c r="CN35" s="128"/>
      <c r="CO35" s="128"/>
      <c r="CP35" s="128"/>
      <c r="CQ35" s="128"/>
      <c r="CR35" s="128"/>
      <c r="CS35" s="128"/>
      <c r="CT35" s="128"/>
      <c r="CU35" s="153"/>
      <c r="CV35" s="37"/>
    </row>
    <row r="36" spans="1:100" ht="12" customHeight="1" x14ac:dyDescent="0.25">
      <c r="A36" s="115" t="s">
        <v>347</v>
      </c>
      <c r="B36" s="115"/>
      <c r="C36" s="115"/>
      <c r="D36" s="115"/>
      <c r="E36" s="115"/>
      <c r="F36" s="115"/>
      <c r="G36" s="115"/>
      <c r="H36" s="115"/>
      <c r="I36" s="116"/>
      <c r="J36" s="137" t="str">
        <f>IFERROR(VLOOKUP(J34,Conditions[],2,FALSE),"")</f>
        <v/>
      </c>
      <c r="K36" s="138"/>
      <c r="L36" s="138"/>
      <c r="M36" s="138"/>
      <c r="N36" s="138"/>
      <c r="O36" s="138"/>
      <c r="P36" s="138"/>
      <c r="Q36" s="138"/>
      <c r="R36" s="138"/>
      <c r="S36" s="137" t="str">
        <f>IFERROR(VLOOKUP(S34,Conditions[],2,FALSE),"")</f>
        <v/>
      </c>
      <c r="T36" s="138"/>
      <c r="U36" s="138"/>
      <c r="V36" s="138"/>
      <c r="W36" s="138"/>
      <c r="X36" s="138"/>
      <c r="Y36" s="138"/>
      <c r="Z36" s="138"/>
      <c r="AA36" s="138"/>
      <c r="AB36" s="137" t="str">
        <f>IFERROR(VLOOKUP(AB34,Conditions[],2,FALSE),"")</f>
        <v/>
      </c>
      <c r="AC36" s="138"/>
      <c r="AD36" s="138"/>
      <c r="AE36" s="138"/>
      <c r="AF36" s="138"/>
      <c r="AG36" s="138"/>
      <c r="AH36" s="138"/>
      <c r="AI36" s="138"/>
      <c r="AJ36" s="138"/>
      <c r="AK36" s="137" t="str">
        <f>IFERROR(VLOOKUP(AK34,Conditions[],2,FALSE),"")</f>
        <v/>
      </c>
      <c r="AL36" s="138"/>
      <c r="AM36" s="138"/>
      <c r="AN36" s="138"/>
      <c r="AO36" s="138"/>
      <c r="AP36" s="138"/>
      <c r="AQ36" s="138"/>
      <c r="AR36" s="138"/>
      <c r="AS36" s="138"/>
      <c r="AT36" s="137" t="str">
        <f>IFERROR(VLOOKUP(AT34,Conditions[],2,FALSE),"")</f>
        <v/>
      </c>
      <c r="AU36" s="138"/>
      <c r="AV36" s="138"/>
      <c r="AW36" s="138"/>
      <c r="AX36" s="138"/>
      <c r="AY36" s="138"/>
      <c r="AZ36" s="138"/>
      <c r="BA36" s="138"/>
      <c r="BB36" s="138"/>
      <c r="BC36" s="137" t="str">
        <f>IFERROR(VLOOKUP(BC34,Conditions[],2,FALSE),"")</f>
        <v/>
      </c>
      <c r="BD36" s="138"/>
      <c r="BE36" s="138"/>
      <c r="BF36" s="138"/>
      <c r="BG36" s="138"/>
      <c r="BH36" s="138"/>
      <c r="BI36" s="138"/>
      <c r="BJ36" s="138"/>
      <c r="BK36" s="138"/>
      <c r="BL36" s="137" t="str">
        <f>IFERROR(VLOOKUP(BL34,Conditions[],2,FALSE),"")</f>
        <v/>
      </c>
      <c r="BM36" s="138"/>
      <c r="BN36" s="138"/>
      <c r="BO36" s="138"/>
      <c r="BP36" s="138"/>
      <c r="BQ36" s="138"/>
      <c r="BR36" s="138"/>
      <c r="BS36" s="138"/>
      <c r="BT36" s="138"/>
      <c r="BU36" s="137" t="str">
        <f>IFERROR(VLOOKUP(BU34,Conditions[],2,FALSE),"")</f>
        <v/>
      </c>
      <c r="BV36" s="138"/>
      <c r="BW36" s="138"/>
      <c r="BX36" s="138"/>
      <c r="BY36" s="138"/>
      <c r="BZ36" s="138"/>
      <c r="CA36" s="138"/>
      <c r="CB36" s="138"/>
      <c r="CC36" s="138"/>
      <c r="CD36" s="137" t="str">
        <f>IFERROR(VLOOKUP(CD34,Conditions[],2,FALSE),"")</f>
        <v/>
      </c>
      <c r="CE36" s="138"/>
      <c r="CF36" s="138"/>
      <c r="CG36" s="138"/>
      <c r="CH36" s="138"/>
      <c r="CI36" s="138"/>
      <c r="CJ36" s="138"/>
      <c r="CK36" s="138"/>
      <c r="CL36" s="138"/>
      <c r="CM36" s="137" t="str">
        <f>IFERROR(VLOOKUP(CM34,Conditions[],2,FALSE),"")</f>
        <v/>
      </c>
      <c r="CN36" s="138"/>
      <c r="CO36" s="138"/>
      <c r="CP36" s="138"/>
      <c r="CQ36" s="138"/>
      <c r="CR36" s="138"/>
      <c r="CS36" s="138"/>
      <c r="CT36" s="138"/>
      <c r="CU36" s="159"/>
      <c r="CV36" s="37"/>
    </row>
    <row r="37" spans="1:100" ht="12" customHeight="1" x14ac:dyDescent="0.25">
      <c r="A37" s="115"/>
      <c r="B37" s="115"/>
      <c r="C37" s="115"/>
      <c r="D37" s="115"/>
      <c r="E37" s="115"/>
      <c r="F37" s="115"/>
      <c r="G37" s="115"/>
      <c r="H37" s="115"/>
      <c r="I37" s="116"/>
      <c r="J37" s="137"/>
      <c r="K37" s="138"/>
      <c r="L37" s="138"/>
      <c r="M37" s="138"/>
      <c r="N37" s="138"/>
      <c r="O37" s="138"/>
      <c r="P37" s="138"/>
      <c r="Q37" s="138"/>
      <c r="R37" s="138"/>
      <c r="S37" s="137"/>
      <c r="T37" s="138"/>
      <c r="U37" s="138"/>
      <c r="V37" s="138"/>
      <c r="W37" s="138"/>
      <c r="X37" s="138"/>
      <c r="Y37" s="138"/>
      <c r="Z37" s="138"/>
      <c r="AA37" s="138"/>
      <c r="AB37" s="137"/>
      <c r="AC37" s="138"/>
      <c r="AD37" s="138"/>
      <c r="AE37" s="138"/>
      <c r="AF37" s="138"/>
      <c r="AG37" s="138"/>
      <c r="AH37" s="138"/>
      <c r="AI37" s="138"/>
      <c r="AJ37" s="138"/>
      <c r="AK37" s="137"/>
      <c r="AL37" s="138"/>
      <c r="AM37" s="138"/>
      <c r="AN37" s="138"/>
      <c r="AO37" s="138"/>
      <c r="AP37" s="138"/>
      <c r="AQ37" s="138"/>
      <c r="AR37" s="138"/>
      <c r="AS37" s="138"/>
      <c r="AT37" s="137"/>
      <c r="AU37" s="138"/>
      <c r="AV37" s="138"/>
      <c r="AW37" s="138"/>
      <c r="AX37" s="138"/>
      <c r="AY37" s="138"/>
      <c r="AZ37" s="138"/>
      <c r="BA37" s="138"/>
      <c r="BB37" s="138"/>
      <c r="BC37" s="137"/>
      <c r="BD37" s="138"/>
      <c r="BE37" s="138"/>
      <c r="BF37" s="138"/>
      <c r="BG37" s="138"/>
      <c r="BH37" s="138"/>
      <c r="BI37" s="138"/>
      <c r="BJ37" s="138"/>
      <c r="BK37" s="138"/>
      <c r="BL37" s="137"/>
      <c r="BM37" s="138"/>
      <c r="BN37" s="138"/>
      <c r="BO37" s="138"/>
      <c r="BP37" s="138"/>
      <c r="BQ37" s="138"/>
      <c r="BR37" s="138"/>
      <c r="BS37" s="138"/>
      <c r="BT37" s="138"/>
      <c r="BU37" s="137"/>
      <c r="BV37" s="138"/>
      <c r="BW37" s="138"/>
      <c r="BX37" s="138"/>
      <c r="BY37" s="138"/>
      <c r="BZ37" s="138"/>
      <c r="CA37" s="138"/>
      <c r="CB37" s="138"/>
      <c r="CC37" s="138"/>
      <c r="CD37" s="137"/>
      <c r="CE37" s="138"/>
      <c r="CF37" s="138"/>
      <c r="CG37" s="138"/>
      <c r="CH37" s="138"/>
      <c r="CI37" s="138"/>
      <c r="CJ37" s="138"/>
      <c r="CK37" s="138"/>
      <c r="CL37" s="138"/>
      <c r="CM37" s="137"/>
      <c r="CN37" s="138"/>
      <c r="CO37" s="138"/>
      <c r="CP37" s="138"/>
      <c r="CQ37" s="138"/>
      <c r="CR37" s="138"/>
      <c r="CS37" s="138"/>
      <c r="CT37" s="138"/>
      <c r="CU37" s="159"/>
      <c r="CV37" s="37"/>
    </row>
    <row r="38" spans="1:100" ht="12" customHeight="1" x14ac:dyDescent="0.25">
      <c r="A38" s="115"/>
      <c r="B38" s="115"/>
      <c r="C38" s="115"/>
      <c r="D38" s="115"/>
      <c r="E38" s="115"/>
      <c r="F38" s="115"/>
      <c r="G38" s="115"/>
      <c r="H38" s="115"/>
      <c r="I38" s="116"/>
      <c r="J38" s="137"/>
      <c r="K38" s="138"/>
      <c r="L38" s="138"/>
      <c r="M38" s="138"/>
      <c r="N38" s="138"/>
      <c r="O38" s="138"/>
      <c r="P38" s="138"/>
      <c r="Q38" s="138"/>
      <c r="R38" s="138"/>
      <c r="S38" s="137"/>
      <c r="T38" s="138"/>
      <c r="U38" s="138"/>
      <c r="V38" s="138"/>
      <c r="W38" s="138"/>
      <c r="X38" s="138"/>
      <c r="Y38" s="138"/>
      <c r="Z38" s="138"/>
      <c r="AA38" s="138"/>
      <c r="AB38" s="137"/>
      <c r="AC38" s="138"/>
      <c r="AD38" s="138"/>
      <c r="AE38" s="138"/>
      <c r="AF38" s="138"/>
      <c r="AG38" s="138"/>
      <c r="AH38" s="138"/>
      <c r="AI38" s="138"/>
      <c r="AJ38" s="138"/>
      <c r="AK38" s="137"/>
      <c r="AL38" s="138"/>
      <c r="AM38" s="138"/>
      <c r="AN38" s="138"/>
      <c r="AO38" s="138"/>
      <c r="AP38" s="138"/>
      <c r="AQ38" s="138"/>
      <c r="AR38" s="138"/>
      <c r="AS38" s="138"/>
      <c r="AT38" s="137"/>
      <c r="AU38" s="138"/>
      <c r="AV38" s="138"/>
      <c r="AW38" s="138"/>
      <c r="AX38" s="138"/>
      <c r="AY38" s="138"/>
      <c r="AZ38" s="138"/>
      <c r="BA38" s="138"/>
      <c r="BB38" s="138"/>
      <c r="BC38" s="137"/>
      <c r="BD38" s="138"/>
      <c r="BE38" s="138"/>
      <c r="BF38" s="138"/>
      <c r="BG38" s="138"/>
      <c r="BH38" s="138"/>
      <c r="BI38" s="138"/>
      <c r="BJ38" s="138"/>
      <c r="BK38" s="138"/>
      <c r="BL38" s="137"/>
      <c r="BM38" s="138"/>
      <c r="BN38" s="138"/>
      <c r="BO38" s="138"/>
      <c r="BP38" s="138"/>
      <c r="BQ38" s="138"/>
      <c r="BR38" s="138"/>
      <c r="BS38" s="138"/>
      <c r="BT38" s="138"/>
      <c r="BU38" s="137"/>
      <c r="BV38" s="138"/>
      <c r="BW38" s="138"/>
      <c r="BX38" s="138"/>
      <c r="BY38" s="138"/>
      <c r="BZ38" s="138"/>
      <c r="CA38" s="138"/>
      <c r="CB38" s="138"/>
      <c r="CC38" s="138"/>
      <c r="CD38" s="137"/>
      <c r="CE38" s="138"/>
      <c r="CF38" s="138"/>
      <c r="CG38" s="138"/>
      <c r="CH38" s="138"/>
      <c r="CI38" s="138"/>
      <c r="CJ38" s="138"/>
      <c r="CK38" s="138"/>
      <c r="CL38" s="138"/>
      <c r="CM38" s="137"/>
      <c r="CN38" s="138"/>
      <c r="CO38" s="138"/>
      <c r="CP38" s="138"/>
      <c r="CQ38" s="138"/>
      <c r="CR38" s="138"/>
      <c r="CS38" s="138"/>
      <c r="CT38" s="138"/>
      <c r="CU38" s="159"/>
      <c r="CV38" s="37"/>
    </row>
    <row r="39" spans="1:100" ht="12" customHeight="1" x14ac:dyDescent="0.25">
      <c r="A39" s="115"/>
      <c r="B39" s="115"/>
      <c r="C39" s="115"/>
      <c r="D39" s="115"/>
      <c r="E39" s="115"/>
      <c r="F39" s="115"/>
      <c r="G39" s="115"/>
      <c r="H39" s="115"/>
      <c r="I39" s="116"/>
      <c r="J39" s="137"/>
      <c r="K39" s="138"/>
      <c r="L39" s="138"/>
      <c r="M39" s="138"/>
      <c r="N39" s="138"/>
      <c r="O39" s="138"/>
      <c r="P39" s="138"/>
      <c r="Q39" s="138"/>
      <c r="R39" s="138"/>
      <c r="S39" s="137"/>
      <c r="T39" s="138"/>
      <c r="U39" s="138"/>
      <c r="V39" s="138"/>
      <c r="W39" s="138"/>
      <c r="X39" s="138"/>
      <c r="Y39" s="138"/>
      <c r="Z39" s="138"/>
      <c r="AA39" s="138"/>
      <c r="AB39" s="137"/>
      <c r="AC39" s="138"/>
      <c r="AD39" s="138"/>
      <c r="AE39" s="138"/>
      <c r="AF39" s="138"/>
      <c r="AG39" s="138"/>
      <c r="AH39" s="138"/>
      <c r="AI39" s="138"/>
      <c r="AJ39" s="138"/>
      <c r="AK39" s="137"/>
      <c r="AL39" s="138"/>
      <c r="AM39" s="138"/>
      <c r="AN39" s="138"/>
      <c r="AO39" s="138"/>
      <c r="AP39" s="138"/>
      <c r="AQ39" s="138"/>
      <c r="AR39" s="138"/>
      <c r="AS39" s="138"/>
      <c r="AT39" s="137"/>
      <c r="AU39" s="138"/>
      <c r="AV39" s="138"/>
      <c r="AW39" s="138"/>
      <c r="AX39" s="138"/>
      <c r="AY39" s="138"/>
      <c r="AZ39" s="138"/>
      <c r="BA39" s="138"/>
      <c r="BB39" s="138"/>
      <c r="BC39" s="137"/>
      <c r="BD39" s="138"/>
      <c r="BE39" s="138"/>
      <c r="BF39" s="138"/>
      <c r="BG39" s="138"/>
      <c r="BH39" s="138"/>
      <c r="BI39" s="138"/>
      <c r="BJ39" s="138"/>
      <c r="BK39" s="138"/>
      <c r="BL39" s="137"/>
      <c r="BM39" s="138"/>
      <c r="BN39" s="138"/>
      <c r="BO39" s="138"/>
      <c r="BP39" s="138"/>
      <c r="BQ39" s="138"/>
      <c r="BR39" s="138"/>
      <c r="BS39" s="138"/>
      <c r="BT39" s="138"/>
      <c r="BU39" s="137"/>
      <c r="BV39" s="138"/>
      <c r="BW39" s="138"/>
      <c r="BX39" s="138"/>
      <c r="BY39" s="138"/>
      <c r="BZ39" s="138"/>
      <c r="CA39" s="138"/>
      <c r="CB39" s="138"/>
      <c r="CC39" s="138"/>
      <c r="CD39" s="137"/>
      <c r="CE39" s="138"/>
      <c r="CF39" s="138"/>
      <c r="CG39" s="138"/>
      <c r="CH39" s="138"/>
      <c r="CI39" s="138"/>
      <c r="CJ39" s="138"/>
      <c r="CK39" s="138"/>
      <c r="CL39" s="138"/>
      <c r="CM39" s="137"/>
      <c r="CN39" s="138"/>
      <c r="CO39" s="138"/>
      <c r="CP39" s="138"/>
      <c r="CQ39" s="138"/>
      <c r="CR39" s="138"/>
      <c r="CS39" s="138"/>
      <c r="CT39" s="138"/>
      <c r="CU39" s="159"/>
      <c r="CV39" s="37"/>
    </row>
    <row r="40" spans="1:100" ht="12" customHeight="1" x14ac:dyDescent="0.25">
      <c r="A40" s="115"/>
      <c r="B40" s="115"/>
      <c r="C40" s="115"/>
      <c r="D40" s="115"/>
      <c r="E40" s="115"/>
      <c r="F40" s="115"/>
      <c r="G40" s="115"/>
      <c r="H40" s="115"/>
      <c r="I40" s="116"/>
      <c r="J40" s="137"/>
      <c r="K40" s="138"/>
      <c r="L40" s="138"/>
      <c r="M40" s="138"/>
      <c r="N40" s="138"/>
      <c r="O40" s="138"/>
      <c r="P40" s="138"/>
      <c r="Q40" s="138"/>
      <c r="R40" s="138"/>
      <c r="S40" s="137"/>
      <c r="T40" s="138"/>
      <c r="U40" s="138"/>
      <c r="V40" s="138"/>
      <c r="W40" s="138"/>
      <c r="X40" s="138"/>
      <c r="Y40" s="138"/>
      <c r="Z40" s="138"/>
      <c r="AA40" s="138"/>
      <c r="AB40" s="137"/>
      <c r="AC40" s="138"/>
      <c r="AD40" s="138"/>
      <c r="AE40" s="138"/>
      <c r="AF40" s="138"/>
      <c r="AG40" s="138"/>
      <c r="AH40" s="138"/>
      <c r="AI40" s="138"/>
      <c r="AJ40" s="138"/>
      <c r="AK40" s="137"/>
      <c r="AL40" s="138"/>
      <c r="AM40" s="138"/>
      <c r="AN40" s="138"/>
      <c r="AO40" s="138"/>
      <c r="AP40" s="138"/>
      <c r="AQ40" s="138"/>
      <c r="AR40" s="138"/>
      <c r="AS40" s="138"/>
      <c r="AT40" s="137"/>
      <c r="AU40" s="138"/>
      <c r="AV40" s="138"/>
      <c r="AW40" s="138"/>
      <c r="AX40" s="138"/>
      <c r="AY40" s="138"/>
      <c r="AZ40" s="138"/>
      <c r="BA40" s="138"/>
      <c r="BB40" s="138"/>
      <c r="BC40" s="137"/>
      <c r="BD40" s="138"/>
      <c r="BE40" s="138"/>
      <c r="BF40" s="138"/>
      <c r="BG40" s="138"/>
      <c r="BH40" s="138"/>
      <c r="BI40" s="138"/>
      <c r="BJ40" s="138"/>
      <c r="BK40" s="138"/>
      <c r="BL40" s="137"/>
      <c r="BM40" s="138"/>
      <c r="BN40" s="138"/>
      <c r="BO40" s="138"/>
      <c r="BP40" s="138"/>
      <c r="BQ40" s="138"/>
      <c r="BR40" s="138"/>
      <c r="BS40" s="138"/>
      <c r="BT40" s="138"/>
      <c r="BU40" s="137"/>
      <c r="BV40" s="138"/>
      <c r="BW40" s="138"/>
      <c r="BX40" s="138"/>
      <c r="BY40" s="138"/>
      <c r="BZ40" s="138"/>
      <c r="CA40" s="138"/>
      <c r="CB40" s="138"/>
      <c r="CC40" s="138"/>
      <c r="CD40" s="137"/>
      <c r="CE40" s="138"/>
      <c r="CF40" s="138"/>
      <c r="CG40" s="138"/>
      <c r="CH40" s="138"/>
      <c r="CI40" s="138"/>
      <c r="CJ40" s="138"/>
      <c r="CK40" s="138"/>
      <c r="CL40" s="138"/>
      <c r="CM40" s="137"/>
      <c r="CN40" s="138"/>
      <c r="CO40" s="138"/>
      <c r="CP40" s="138"/>
      <c r="CQ40" s="138"/>
      <c r="CR40" s="138"/>
      <c r="CS40" s="138"/>
      <c r="CT40" s="138"/>
      <c r="CU40" s="159"/>
      <c r="CV40" s="37"/>
    </row>
    <row r="41" spans="1:100" ht="12" customHeight="1" x14ac:dyDescent="0.25">
      <c r="A41" s="115"/>
      <c r="B41" s="115"/>
      <c r="C41" s="115"/>
      <c r="D41" s="115"/>
      <c r="E41" s="115"/>
      <c r="F41" s="115"/>
      <c r="G41" s="115"/>
      <c r="H41" s="115"/>
      <c r="I41" s="116"/>
      <c r="J41" s="137"/>
      <c r="K41" s="138"/>
      <c r="L41" s="138"/>
      <c r="M41" s="138"/>
      <c r="N41" s="138"/>
      <c r="O41" s="138"/>
      <c r="P41" s="138"/>
      <c r="Q41" s="138"/>
      <c r="R41" s="138"/>
      <c r="S41" s="137"/>
      <c r="T41" s="138"/>
      <c r="U41" s="138"/>
      <c r="V41" s="138"/>
      <c r="W41" s="138"/>
      <c r="X41" s="138"/>
      <c r="Y41" s="138"/>
      <c r="Z41" s="138"/>
      <c r="AA41" s="138"/>
      <c r="AB41" s="137"/>
      <c r="AC41" s="138"/>
      <c r="AD41" s="138"/>
      <c r="AE41" s="138"/>
      <c r="AF41" s="138"/>
      <c r="AG41" s="138"/>
      <c r="AH41" s="138"/>
      <c r="AI41" s="138"/>
      <c r="AJ41" s="138"/>
      <c r="AK41" s="137"/>
      <c r="AL41" s="138"/>
      <c r="AM41" s="138"/>
      <c r="AN41" s="138"/>
      <c r="AO41" s="138"/>
      <c r="AP41" s="138"/>
      <c r="AQ41" s="138"/>
      <c r="AR41" s="138"/>
      <c r="AS41" s="138"/>
      <c r="AT41" s="137"/>
      <c r="AU41" s="138"/>
      <c r="AV41" s="138"/>
      <c r="AW41" s="138"/>
      <c r="AX41" s="138"/>
      <c r="AY41" s="138"/>
      <c r="AZ41" s="138"/>
      <c r="BA41" s="138"/>
      <c r="BB41" s="138"/>
      <c r="BC41" s="137"/>
      <c r="BD41" s="138"/>
      <c r="BE41" s="138"/>
      <c r="BF41" s="138"/>
      <c r="BG41" s="138"/>
      <c r="BH41" s="138"/>
      <c r="BI41" s="138"/>
      <c r="BJ41" s="138"/>
      <c r="BK41" s="138"/>
      <c r="BL41" s="137"/>
      <c r="BM41" s="138"/>
      <c r="BN41" s="138"/>
      <c r="BO41" s="138"/>
      <c r="BP41" s="138"/>
      <c r="BQ41" s="138"/>
      <c r="BR41" s="138"/>
      <c r="BS41" s="138"/>
      <c r="BT41" s="138"/>
      <c r="BU41" s="137"/>
      <c r="BV41" s="138"/>
      <c r="BW41" s="138"/>
      <c r="BX41" s="138"/>
      <c r="BY41" s="138"/>
      <c r="BZ41" s="138"/>
      <c r="CA41" s="138"/>
      <c r="CB41" s="138"/>
      <c r="CC41" s="138"/>
      <c r="CD41" s="137"/>
      <c r="CE41" s="138"/>
      <c r="CF41" s="138"/>
      <c r="CG41" s="138"/>
      <c r="CH41" s="138"/>
      <c r="CI41" s="138"/>
      <c r="CJ41" s="138"/>
      <c r="CK41" s="138"/>
      <c r="CL41" s="138"/>
      <c r="CM41" s="137"/>
      <c r="CN41" s="138"/>
      <c r="CO41" s="138"/>
      <c r="CP41" s="138"/>
      <c r="CQ41" s="138"/>
      <c r="CR41" s="138"/>
      <c r="CS41" s="138"/>
      <c r="CT41" s="138"/>
      <c r="CU41" s="159"/>
      <c r="CV41" s="37"/>
    </row>
    <row r="42" spans="1:100" ht="12" customHeight="1" x14ac:dyDescent="0.25">
      <c r="A42" s="115"/>
      <c r="B42" s="115"/>
      <c r="C42" s="115"/>
      <c r="D42" s="115"/>
      <c r="E42" s="115"/>
      <c r="F42" s="115"/>
      <c r="G42" s="115"/>
      <c r="H42" s="115"/>
      <c r="I42" s="116"/>
      <c r="J42" s="137"/>
      <c r="K42" s="138"/>
      <c r="L42" s="138"/>
      <c r="M42" s="138"/>
      <c r="N42" s="138"/>
      <c r="O42" s="138"/>
      <c r="P42" s="138"/>
      <c r="Q42" s="138"/>
      <c r="R42" s="138"/>
      <c r="S42" s="137"/>
      <c r="T42" s="138"/>
      <c r="U42" s="138"/>
      <c r="V42" s="138"/>
      <c r="W42" s="138"/>
      <c r="X42" s="138"/>
      <c r="Y42" s="138"/>
      <c r="Z42" s="138"/>
      <c r="AA42" s="138"/>
      <c r="AB42" s="137"/>
      <c r="AC42" s="138"/>
      <c r="AD42" s="138"/>
      <c r="AE42" s="138"/>
      <c r="AF42" s="138"/>
      <c r="AG42" s="138"/>
      <c r="AH42" s="138"/>
      <c r="AI42" s="138"/>
      <c r="AJ42" s="138"/>
      <c r="AK42" s="137"/>
      <c r="AL42" s="138"/>
      <c r="AM42" s="138"/>
      <c r="AN42" s="138"/>
      <c r="AO42" s="138"/>
      <c r="AP42" s="138"/>
      <c r="AQ42" s="138"/>
      <c r="AR42" s="138"/>
      <c r="AS42" s="138"/>
      <c r="AT42" s="137"/>
      <c r="AU42" s="138"/>
      <c r="AV42" s="138"/>
      <c r="AW42" s="138"/>
      <c r="AX42" s="138"/>
      <c r="AY42" s="138"/>
      <c r="AZ42" s="138"/>
      <c r="BA42" s="138"/>
      <c r="BB42" s="138"/>
      <c r="BC42" s="137"/>
      <c r="BD42" s="138"/>
      <c r="BE42" s="138"/>
      <c r="BF42" s="138"/>
      <c r="BG42" s="138"/>
      <c r="BH42" s="138"/>
      <c r="BI42" s="138"/>
      <c r="BJ42" s="138"/>
      <c r="BK42" s="138"/>
      <c r="BL42" s="137"/>
      <c r="BM42" s="138"/>
      <c r="BN42" s="138"/>
      <c r="BO42" s="138"/>
      <c r="BP42" s="138"/>
      <c r="BQ42" s="138"/>
      <c r="BR42" s="138"/>
      <c r="BS42" s="138"/>
      <c r="BT42" s="138"/>
      <c r="BU42" s="137"/>
      <c r="BV42" s="138"/>
      <c r="BW42" s="138"/>
      <c r="BX42" s="138"/>
      <c r="BY42" s="138"/>
      <c r="BZ42" s="138"/>
      <c r="CA42" s="138"/>
      <c r="CB42" s="138"/>
      <c r="CC42" s="138"/>
      <c r="CD42" s="137"/>
      <c r="CE42" s="138"/>
      <c r="CF42" s="138"/>
      <c r="CG42" s="138"/>
      <c r="CH42" s="138"/>
      <c r="CI42" s="138"/>
      <c r="CJ42" s="138"/>
      <c r="CK42" s="138"/>
      <c r="CL42" s="138"/>
      <c r="CM42" s="137"/>
      <c r="CN42" s="138"/>
      <c r="CO42" s="138"/>
      <c r="CP42" s="138"/>
      <c r="CQ42" s="138"/>
      <c r="CR42" s="138"/>
      <c r="CS42" s="138"/>
      <c r="CT42" s="138"/>
      <c r="CU42" s="159"/>
      <c r="CV42" s="37"/>
    </row>
    <row r="43" spans="1:100" ht="12" customHeight="1" x14ac:dyDescent="0.25">
      <c r="A43" s="115"/>
      <c r="B43" s="115"/>
      <c r="C43" s="115"/>
      <c r="D43" s="115"/>
      <c r="E43" s="115"/>
      <c r="F43" s="115"/>
      <c r="G43" s="115"/>
      <c r="H43" s="115"/>
      <c r="I43" s="116"/>
      <c r="J43" s="137"/>
      <c r="K43" s="138"/>
      <c r="L43" s="138"/>
      <c r="M43" s="138"/>
      <c r="N43" s="138"/>
      <c r="O43" s="138"/>
      <c r="P43" s="138"/>
      <c r="Q43" s="138"/>
      <c r="R43" s="138"/>
      <c r="S43" s="137"/>
      <c r="T43" s="138"/>
      <c r="U43" s="138"/>
      <c r="V43" s="138"/>
      <c r="W43" s="138"/>
      <c r="X43" s="138"/>
      <c r="Y43" s="138"/>
      <c r="Z43" s="138"/>
      <c r="AA43" s="138"/>
      <c r="AB43" s="137"/>
      <c r="AC43" s="138"/>
      <c r="AD43" s="138"/>
      <c r="AE43" s="138"/>
      <c r="AF43" s="138"/>
      <c r="AG43" s="138"/>
      <c r="AH43" s="138"/>
      <c r="AI43" s="138"/>
      <c r="AJ43" s="138"/>
      <c r="AK43" s="137"/>
      <c r="AL43" s="138"/>
      <c r="AM43" s="138"/>
      <c r="AN43" s="138"/>
      <c r="AO43" s="138"/>
      <c r="AP43" s="138"/>
      <c r="AQ43" s="138"/>
      <c r="AR43" s="138"/>
      <c r="AS43" s="138"/>
      <c r="AT43" s="137"/>
      <c r="AU43" s="138"/>
      <c r="AV43" s="138"/>
      <c r="AW43" s="138"/>
      <c r="AX43" s="138"/>
      <c r="AY43" s="138"/>
      <c r="AZ43" s="138"/>
      <c r="BA43" s="138"/>
      <c r="BB43" s="138"/>
      <c r="BC43" s="137"/>
      <c r="BD43" s="138"/>
      <c r="BE43" s="138"/>
      <c r="BF43" s="138"/>
      <c r="BG43" s="138"/>
      <c r="BH43" s="138"/>
      <c r="BI43" s="138"/>
      <c r="BJ43" s="138"/>
      <c r="BK43" s="138"/>
      <c r="BL43" s="137"/>
      <c r="BM43" s="138"/>
      <c r="BN43" s="138"/>
      <c r="BO43" s="138"/>
      <c r="BP43" s="138"/>
      <c r="BQ43" s="138"/>
      <c r="BR43" s="138"/>
      <c r="BS43" s="138"/>
      <c r="BT43" s="138"/>
      <c r="BU43" s="137"/>
      <c r="BV43" s="138"/>
      <c r="BW43" s="138"/>
      <c r="BX43" s="138"/>
      <c r="BY43" s="138"/>
      <c r="BZ43" s="138"/>
      <c r="CA43" s="138"/>
      <c r="CB43" s="138"/>
      <c r="CC43" s="138"/>
      <c r="CD43" s="137"/>
      <c r="CE43" s="138"/>
      <c r="CF43" s="138"/>
      <c r="CG43" s="138"/>
      <c r="CH43" s="138"/>
      <c r="CI43" s="138"/>
      <c r="CJ43" s="138"/>
      <c r="CK43" s="138"/>
      <c r="CL43" s="138"/>
      <c r="CM43" s="137"/>
      <c r="CN43" s="138"/>
      <c r="CO43" s="138"/>
      <c r="CP43" s="138"/>
      <c r="CQ43" s="138"/>
      <c r="CR43" s="138"/>
      <c r="CS43" s="138"/>
      <c r="CT43" s="138"/>
      <c r="CU43" s="159"/>
      <c r="CV43" s="37"/>
    </row>
    <row r="44" spans="1:100" ht="12" customHeight="1" x14ac:dyDescent="0.25">
      <c r="A44" s="115"/>
      <c r="B44" s="115"/>
      <c r="C44" s="115"/>
      <c r="D44" s="115"/>
      <c r="E44" s="115"/>
      <c r="F44" s="115"/>
      <c r="G44" s="115"/>
      <c r="H44" s="115"/>
      <c r="I44" s="116"/>
      <c r="J44" s="137"/>
      <c r="K44" s="138"/>
      <c r="L44" s="138"/>
      <c r="M44" s="138"/>
      <c r="N44" s="138"/>
      <c r="O44" s="138"/>
      <c r="P44" s="138"/>
      <c r="Q44" s="138"/>
      <c r="R44" s="138"/>
      <c r="S44" s="137"/>
      <c r="T44" s="138"/>
      <c r="U44" s="138"/>
      <c r="V44" s="138"/>
      <c r="W44" s="138"/>
      <c r="X44" s="138"/>
      <c r="Y44" s="138"/>
      <c r="Z44" s="138"/>
      <c r="AA44" s="138"/>
      <c r="AB44" s="137"/>
      <c r="AC44" s="138"/>
      <c r="AD44" s="138"/>
      <c r="AE44" s="138"/>
      <c r="AF44" s="138"/>
      <c r="AG44" s="138"/>
      <c r="AH44" s="138"/>
      <c r="AI44" s="138"/>
      <c r="AJ44" s="138"/>
      <c r="AK44" s="137"/>
      <c r="AL44" s="138"/>
      <c r="AM44" s="138"/>
      <c r="AN44" s="138"/>
      <c r="AO44" s="138"/>
      <c r="AP44" s="138"/>
      <c r="AQ44" s="138"/>
      <c r="AR44" s="138"/>
      <c r="AS44" s="138"/>
      <c r="AT44" s="137"/>
      <c r="AU44" s="138"/>
      <c r="AV44" s="138"/>
      <c r="AW44" s="138"/>
      <c r="AX44" s="138"/>
      <c r="AY44" s="138"/>
      <c r="AZ44" s="138"/>
      <c r="BA44" s="138"/>
      <c r="BB44" s="138"/>
      <c r="BC44" s="137"/>
      <c r="BD44" s="138"/>
      <c r="BE44" s="138"/>
      <c r="BF44" s="138"/>
      <c r="BG44" s="138"/>
      <c r="BH44" s="138"/>
      <c r="BI44" s="138"/>
      <c r="BJ44" s="138"/>
      <c r="BK44" s="138"/>
      <c r="BL44" s="137"/>
      <c r="BM44" s="138"/>
      <c r="BN44" s="138"/>
      <c r="BO44" s="138"/>
      <c r="BP44" s="138"/>
      <c r="BQ44" s="138"/>
      <c r="BR44" s="138"/>
      <c r="BS44" s="138"/>
      <c r="BT44" s="138"/>
      <c r="BU44" s="137"/>
      <c r="BV44" s="138"/>
      <c r="BW44" s="138"/>
      <c r="BX44" s="138"/>
      <c r="BY44" s="138"/>
      <c r="BZ44" s="138"/>
      <c r="CA44" s="138"/>
      <c r="CB44" s="138"/>
      <c r="CC44" s="138"/>
      <c r="CD44" s="137"/>
      <c r="CE44" s="138"/>
      <c r="CF44" s="138"/>
      <c r="CG44" s="138"/>
      <c r="CH44" s="138"/>
      <c r="CI44" s="138"/>
      <c r="CJ44" s="138"/>
      <c r="CK44" s="138"/>
      <c r="CL44" s="138"/>
      <c r="CM44" s="137"/>
      <c r="CN44" s="138"/>
      <c r="CO44" s="138"/>
      <c r="CP44" s="138"/>
      <c r="CQ44" s="138"/>
      <c r="CR44" s="138"/>
      <c r="CS44" s="138"/>
      <c r="CT44" s="138"/>
      <c r="CU44" s="159"/>
      <c r="CV44" s="37"/>
    </row>
    <row r="45" spans="1:100" ht="12" customHeight="1" x14ac:dyDescent="0.25">
      <c r="A45" s="115" t="s">
        <v>348</v>
      </c>
      <c r="B45" s="115"/>
      <c r="C45" s="115"/>
      <c r="D45" s="115"/>
      <c r="E45" s="115"/>
      <c r="F45" s="115"/>
      <c r="G45" s="115"/>
      <c r="H45" s="115"/>
      <c r="I45" s="116"/>
      <c r="J45" s="145" t="str">
        <f>IFERROR(IF(VLOOKUP(J$11,Encounter[],4,FALSE)=0,"",VLOOKUP(J$11,Encounter[],4,FALSE)),"")</f>
        <v/>
      </c>
      <c r="K45" s="128"/>
      <c r="L45" s="128"/>
      <c r="M45" s="128"/>
      <c r="N45" s="128"/>
      <c r="O45" s="128"/>
      <c r="P45" s="128"/>
      <c r="Q45" s="128"/>
      <c r="R45" s="128"/>
      <c r="S45" s="145" t="str">
        <f>IFERROR(IF(VLOOKUP(S$11,Encounter[],4,FALSE)=0,"",VLOOKUP(S$11,Encounter[],4,FALSE)),"")</f>
        <v/>
      </c>
      <c r="T45" s="128"/>
      <c r="U45" s="128"/>
      <c r="V45" s="128"/>
      <c r="W45" s="128"/>
      <c r="X45" s="128"/>
      <c r="Y45" s="128"/>
      <c r="Z45" s="128"/>
      <c r="AA45" s="128"/>
      <c r="AB45" s="145" t="str">
        <f>IFERROR(IF(VLOOKUP(AB$11,Encounter[],4,FALSE)=0,"",VLOOKUP(AB$11,Encounter[],4,FALSE)),"")</f>
        <v/>
      </c>
      <c r="AC45" s="128"/>
      <c r="AD45" s="128"/>
      <c r="AE45" s="128"/>
      <c r="AF45" s="128"/>
      <c r="AG45" s="128"/>
      <c r="AH45" s="128"/>
      <c r="AI45" s="128"/>
      <c r="AJ45" s="128"/>
      <c r="AK45" s="145" t="str">
        <f>IFERROR(IF(VLOOKUP(AK$11,Encounter[],4,FALSE)=0,"",VLOOKUP(AK$11,Encounter[],4,FALSE)),"")</f>
        <v/>
      </c>
      <c r="AL45" s="128"/>
      <c r="AM45" s="128"/>
      <c r="AN45" s="128"/>
      <c r="AO45" s="128"/>
      <c r="AP45" s="128"/>
      <c r="AQ45" s="128"/>
      <c r="AR45" s="128"/>
      <c r="AS45" s="128"/>
      <c r="AT45" s="145" t="str">
        <f>IFERROR(IF(VLOOKUP(AT$11,Encounter[],4,FALSE)=0,"",VLOOKUP(AT$11,Encounter[],4,FALSE)),"")</f>
        <v/>
      </c>
      <c r="AU45" s="128"/>
      <c r="AV45" s="128"/>
      <c r="AW45" s="128"/>
      <c r="AX45" s="128"/>
      <c r="AY45" s="128"/>
      <c r="AZ45" s="128"/>
      <c r="BA45" s="128"/>
      <c r="BB45" s="128"/>
      <c r="BC45" s="145" t="str">
        <f>IFERROR(IF(VLOOKUP(BC$11,Encounter[],4,FALSE)=0,"",VLOOKUP(BC$11,Encounter[],4,FALSE)),"")</f>
        <v/>
      </c>
      <c r="BD45" s="128"/>
      <c r="BE45" s="128"/>
      <c r="BF45" s="128"/>
      <c r="BG45" s="128"/>
      <c r="BH45" s="128"/>
      <c r="BI45" s="128"/>
      <c r="BJ45" s="128"/>
      <c r="BK45" s="128"/>
      <c r="BL45" s="145" t="str">
        <f>IFERROR(IF(VLOOKUP(BL$11,Encounter[],4,FALSE)=0,"",VLOOKUP(BL$11,Encounter[],4,FALSE)),"")</f>
        <v/>
      </c>
      <c r="BM45" s="128"/>
      <c r="BN45" s="128"/>
      <c r="BO45" s="128"/>
      <c r="BP45" s="128"/>
      <c r="BQ45" s="128"/>
      <c r="BR45" s="128"/>
      <c r="BS45" s="128"/>
      <c r="BT45" s="128"/>
      <c r="BU45" s="145" t="str">
        <f>IFERROR(IF(VLOOKUP(BU$11,Encounter[],4,FALSE)=0,"",VLOOKUP(BU$11,Encounter[],4,FALSE)),"")</f>
        <v/>
      </c>
      <c r="BV45" s="128"/>
      <c r="BW45" s="128"/>
      <c r="BX45" s="128"/>
      <c r="BY45" s="128"/>
      <c r="BZ45" s="128"/>
      <c r="CA45" s="128"/>
      <c r="CB45" s="128"/>
      <c r="CC45" s="128"/>
      <c r="CD45" s="145" t="str">
        <f>IFERROR(IF(VLOOKUP(CD$11,Encounter[],4,FALSE)=0,"",VLOOKUP(CD$11,Encounter[],4,FALSE)),"")</f>
        <v/>
      </c>
      <c r="CE45" s="128"/>
      <c r="CF45" s="128"/>
      <c r="CG45" s="128"/>
      <c r="CH45" s="128"/>
      <c r="CI45" s="128"/>
      <c r="CJ45" s="128"/>
      <c r="CK45" s="128"/>
      <c r="CL45" s="128"/>
      <c r="CM45" s="145" t="str">
        <f>IFERROR(IF(VLOOKUP(CM$11,Encounter[],4,FALSE)=0,"",VLOOKUP(CM$11,Encounter[],4,FALSE)),"")</f>
        <v/>
      </c>
      <c r="CN45" s="128"/>
      <c r="CO45" s="128"/>
      <c r="CP45" s="128"/>
      <c r="CQ45" s="128"/>
      <c r="CR45" s="128"/>
      <c r="CS45" s="128"/>
      <c r="CT45" s="128"/>
      <c r="CU45" s="128"/>
      <c r="CV45" s="37"/>
    </row>
    <row r="46" spans="1:100" ht="12" customHeight="1" x14ac:dyDescent="0.25">
      <c r="A46" s="115"/>
      <c r="B46" s="115"/>
      <c r="C46" s="115"/>
      <c r="D46" s="115"/>
      <c r="E46" s="115"/>
      <c r="F46" s="115"/>
      <c r="G46" s="115"/>
      <c r="H46" s="115"/>
      <c r="I46" s="116"/>
      <c r="J46" s="127"/>
      <c r="K46" s="128"/>
      <c r="L46" s="128"/>
      <c r="M46" s="128"/>
      <c r="N46" s="128"/>
      <c r="O46" s="128"/>
      <c r="P46" s="128"/>
      <c r="Q46" s="128"/>
      <c r="R46" s="128"/>
      <c r="S46" s="127"/>
      <c r="T46" s="128"/>
      <c r="U46" s="128"/>
      <c r="V46" s="128"/>
      <c r="W46" s="128"/>
      <c r="X46" s="128"/>
      <c r="Y46" s="128"/>
      <c r="Z46" s="128"/>
      <c r="AA46" s="128"/>
      <c r="AB46" s="127"/>
      <c r="AC46" s="128"/>
      <c r="AD46" s="128"/>
      <c r="AE46" s="128"/>
      <c r="AF46" s="128"/>
      <c r="AG46" s="128"/>
      <c r="AH46" s="128"/>
      <c r="AI46" s="128"/>
      <c r="AJ46" s="128"/>
      <c r="AK46" s="127"/>
      <c r="AL46" s="128"/>
      <c r="AM46" s="128"/>
      <c r="AN46" s="128"/>
      <c r="AO46" s="128"/>
      <c r="AP46" s="128"/>
      <c r="AQ46" s="128"/>
      <c r="AR46" s="128"/>
      <c r="AS46" s="128"/>
      <c r="AT46" s="127"/>
      <c r="AU46" s="128"/>
      <c r="AV46" s="128"/>
      <c r="AW46" s="128"/>
      <c r="AX46" s="128"/>
      <c r="AY46" s="128"/>
      <c r="AZ46" s="128"/>
      <c r="BA46" s="128"/>
      <c r="BB46" s="128"/>
      <c r="BC46" s="127"/>
      <c r="BD46" s="128"/>
      <c r="BE46" s="128"/>
      <c r="BF46" s="128"/>
      <c r="BG46" s="128"/>
      <c r="BH46" s="128"/>
      <c r="BI46" s="128"/>
      <c r="BJ46" s="128"/>
      <c r="BK46" s="128"/>
      <c r="BL46" s="127"/>
      <c r="BM46" s="128"/>
      <c r="BN46" s="128"/>
      <c r="BO46" s="128"/>
      <c r="BP46" s="128"/>
      <c r="BQ46" s="128"/>
      <c r="BR46" s="128"/>
      <c r="BS46" s="128"/>
      <c r="BT46" s="128"/>
      <c r="BU46" s="127"/>
      <c r="BV46" s="128"/>
      <c r="BW46" s="128"/>
      <c r="BX46" s="128"/>
      <c r="BY46" s="128"/>
      <c r="BZ46" s="128"/>
      <c r="CA46" s="128"/>
      <c r="CB46" s="128"/>
      <c r="CC46" s="128"/>
      <c r="CD46" s="127"/>
      <c r="CE46" s="128"/>
      <c r="CF46" s="128"/>
      <c r="CG46" s="128"/>
      <c r="CH46" s="128"/>
      <c r="CI46" s="128"/>
      <c r="CJ46" s="128"/>
      <c r="CK46" s="128"/>
      <c r="CL46" s="128"/>
      <c r="CM46" s="127"/>
      <c r="CN46" s="128"/>
      <c r="CO46" s="128"/>
      <c r="CP46" s="128"/>
      <c r="CQ46" s="128"/>
      <c r="CR46" s="128"/>
      <c r="CS46" s="128"/>
      <c r="CT46" s="128"/>
      <c r="CU46" s="128"/>
      <c r="CV46" s="37"/>
    </row>
    <row r="47" spans="1:100" ht="12" hidden="1" customHeight="1" x14ac:dyDescent="0.25">
      <c r="A47" s="109" t="s">
        <v>349</v>
      </c>
      <c r="B47" s="109"/>
      <c r="C47" s="109"/>
      <c r="D47" s="109"/>
      <c r="E47" s="109"/>
      <c r="F47" s="109"/>
      <c r="G47" s="109"/>
      <c r="H47" s="109"/>
      <c r="I47" s="110"/>
      <c r="J47" s="107"/>
      <c r="K47" s="108"/>
      <c r="L47" s="108"/>
      <c r="M47" s="108"/>
      <c r="N47" s="108"/>
      <c r="O47" s="108"/>
      <c r="P47" s="108"/>
      <c r="Q47" s="108"/>
      <c r="R47" s="108"/>
      <c r="S47" s="107"/>
      <c r="T47" s="108"/>
      <c r="U47" s="108"/>
      <c r="V47" s="108"/>
      <c r="W47" s="108"/>
      <c r="X47" s="108"/>
      <c r="Y47" s="108"/>
      <c r="Z47" s="108"/>
      <c r="AA47" s="108"/>
      <c r="AB47" s="107"/>
      <c r="AC47" s="108"/>
      <c r="AD47" s="108"/>
      <c r="AE47" s="108"/>
      <c r="AF47" s="108"/>
      <c r="AG47" s="108"/>
      <c r="AH47" s="108"/>
      <c r="AI47" s="108"/>
      <c r="AJ47" s="108"/>
      <c r="AK47" s="107"/>
      <c r="AL47" s="108"/>
      <c r="AM47" s="108"/>
      <c r="AN47" s="108"/>
      <c r="AO47" s="108"/>
      <c r="AP47" s="108"/>
      <c r="AQ47" s="108"/>
      <c r="AR47" s="108"/>
      <c r="AS47" s="108"/>
      <c r="AT47" s="107"/>
      <c r="AU47" s="108"/>
      <c r="AV47" s="108"/>
      <c r="AW47" s="108"/>
      <c r="AX47" s="108"/>
      <c r="AY47" s="108"/>
      <c r="AZ47" s="108"/>
      <c r="BA47" s="108"/>
      <c r="BB47" s="108"/>
      <c r="BC47" s="107"/>
      <c r="BD47" s="108"/>
      <c r="BE47" s="108"/>
      <c r="BF47" s="108"/>
      <c r="BG47" s="108"/>
      <c r="BH47" s="108"/>
      <c r="BI47" s="108"/>
      <c r="BJ47" s="108"/>
      <c r="BK47" s="108"/>
      <c r="BL47" s="107"/>
      <c r="BM47" s="108"/>
      <c r="BN47" s="108"/>
      <c r="BO47" s="108"/>
      <c r="BP47" s="108"/>
      <c r="BQ47" s="108"/>
      <c r="BR47" s="108"/>
      <c r="BS47" s="108"/>
      <c r="BT47" s="108"/>
      <c r="BU47" s="107"/>
      <c r="BV47" s="108"/>
      <c r="BW47" s="108"/>
      <c r="BX47" s="108"/>
      <c r="BY47" s="108"/>
      <c r="BZ47" s="108"/>
      <c r="CA47" s="108"/>
      <c r="CB47" s="108"/>
      <c r="CC47" s="108"/>
      <c r="CD47" s="107"/>
      <c r="CE47" s="108"/>
      <c r="CF47" s="108"/>
      <c r="CG47" s="108"/>
      <c r="CH47" s="108"/>
      <c r="CI47" s="108"/>
      <c r="CJ47" s="108"/>
      <c r="CK47" s="108"/>
      <c r="CL47" s="108"/>
      <c r="CM47" s="107"/>
      <c r="CN47" s="108"/>
      <c r="CO47" s="108"/>
      <c r="CP47" s="108"/>
      <c r="CQ47" s="108"/>
      <c r="CR47" s="108"/>
      <c r="CS47" s="108"/>
      <c r="CT47" s="108"/>
      <c r="CU47" s="158"/>
      <c r="CV47" s="37"/>
    </row>
    <row r="48" spans="1:100" ht="12" hidden="1" customHeight="1" x14ac:dyDescent="0.25">
      <c r="A48" s="109" t="s">
        <v>350</v>
      </c>
      <c r="B48" s="109"/>
      <c r="C48" s="109"/>
      <c r="D48" s="109"/>
      <c r="E48" s="109"/>
      <c r="F48" s="109"/>
      <c r="G48" s="109"/>
      <c r="H48" s="109"/>
      <c r="I48" s="110"/>
      <c r="J48" s="107"/>
      <c r="K48" s="108"/>
      <c r="L48" s="108"/>
      <c r="M48" s="108"/>
      <c r="N48" s="108"/>
      <c r="O48" s="108"/>
      <c r="P48" s="108"/>
      <c r="Q48" s="108"/>
      <c r="R48" s="108"/>
      <c r="S48" s="107"/>
      <c r="T48" s="108"/>
      <c r="U48" s="108"/>
      <c r="V48" s="108"/>
      <c r="W48" s="108"/>
      <c r="X48" s="108"/>
      <c r="Y48" s="108"/>
      <c r="Z48" s="108"/>
      <c r="AA48" s="108"/>
      <c r="AB48" s="107"/>
      <c r="AC48" s="108"/>
      <c r="AD48" s="108"/>
      <c r="AE48" s="108"/>
      <c r="AF48" s="108"/>
      <c r="AG48" s="108"/>
      <c r="AH48" s="108"/>
      <c r="AI48" s="108"/>
      <c r="AJ48" s="108"/>
      <c r="AK48" s="107"/>
      <c r="AL48" s="108"/>
      <c r="AM48" s="108"/>
      <c r="AN48" s="108"/>
      <c r="AO48" s="108"/>
      <c r="AP48" s="108"/>
      <c r="AQ48" s="108"/>
      <c r="AR48" s="108"/>
      <c r="AS48" s="108"/>
      <c r="AT48" s="107"/>
      <c r="AU48" s="108"/>
      <c r="AV48" s="108"/>
      <c r="AW48" s="108"/>
      <c r="AX48" s="108"/>
      <c r="AY48" s="108"/>
      <c r="AZ48" s="108"/>
      <c r="BA48" s="108"/>
      <c r="BB48" s="108"/>
      <c r="BC48" s="107"/>
      <c r="BD48" s="108"/>
      <c r="BE48" s="108"/>
      <c r="BF48" s="108"/>
      <c r="BG48" s="108"/>
      <c r="BH48" s="108"/>
      <c r="BI48" s="108"/>
      <c r="BJ48" s="108"/>
      <c r="BK48" s="108"/>
      <c r="BL48" s="107"/>
      <c r="BM48" s="108"/>
      <c r="BN48" s="108"/>
      <c r="BO48" s="108"/>
      <c r="BP48" s="108"/>
      <c r="BQ48" s="108"/>
      <c r="BR48" s="108"/>
      <c r="BS48" s="108"/>
      <c r="BT48" s="108"/>
      <c r="BU48" s="107"/>
      <c r="BV48" s="108"/>
      <c r="BW48" s="108"/>
      <c r="BX48" s="108"/>
      <c r="BY48" s="108"/>
      <c r="BZ48" s="108"/>
      <c r="CA48" s="108"/>
      <c r="CB48" s="108"/>
      <c r="CC48" s="108"/>
      <c r="CD48" s="107"/>
      <c r="CE48" s="108"/>
      <c r="CF48" s="108"/>
      <c r="CG48" s="108"/>
      <c r="CH48" s="108"/>
      <c r="CI48" s="108"/>
      <c r="CJ48" s="108"/>
      <c r="CK48" s="108"/>
      <c r="CL48" s="108"/>
      <c r="CM48" s="107"/>
      <c r="CN48" s="108"/>
      <c r="CO48" s="108"/>
      <c r="CP48" s="108"/>
      <c r="CQ48" s="108"/>
      <c r="CR48" s="108"/>
      <c r="CS48" s="108"/>
      <c r="CT48" s="108"/>
      <c r="CU48" s="158"/>
      <c r="CV48" s="37"/>
    </row>
    <row r="49" spans="1:100" ht="12" customHeight="1" x14ac:dyDescent="0.25">
      <c r="A49" s="111" t="s">
        <v>351</v>
      </c>
      <c r="B49" s="111"/>
      <c r="C49" s="111"/>
      <c r="D49" s="111"/>
      <c r="E49" s="111"/>
      <c r="F49" s="111"/>
      <c r="G49" s="111"/>
      <c r="H49" s="111"/>
      <c r="I49" s="112"/>
      <c r="J49" s="102">
        <v>10</v>
      </c>
      <c r="K49" s="103"/>
      <c r="L49" s="103"/>
      <c r="M49" s="103"/>
      <c r="N49" s="103"/>
      <c r="O49" s="103"/>
      <c r="P49" s="103"/>
      <c r="Q49" s="103"/>
      <c r="R49" s="103"/>
      <c r="S49" s="102">
        <v>11</v>
      </c>
      <c r="T49" s="103"/>
      <c r="U49" s="103"/>
      <c r="V49" s="103"/>
      <c r="W49" s="103"/>
      <c r="X49" s="103"/>
      <c r="Y49" s="103"/>
      <c r="Z49" s="103"/>
      <c r="AA49" s="103"/>
      <c r="AB49" s="102">
        <v>13</v>
      </c>
      <c r="AC49" s="103"/>
      <c r="AD49" s="103"/>
      <c r="AE49" s="103"/>
      <c r="AF49" s="103"/>
      <c r="AG49" s="103"/>
      <c r="AH49" s="103"/>
      <c r="AI49" s="103"/>
      <c r="AJ49" s="103"/>
      <c r="AK49" s="102">
        <v>14</v>
      </c>
      <c r="AL49" s="103"/>
      <c r="AM49" s="103"/>
      <c r="AN49" s="103"/>
      <c r="AO49" s="103"/>
      <c r="AP49" s="103"/>
      <c r="AQ49" s="103"/>
      <c r="AR49" s="103"/>
      <c r="AS49" s="103"/>
      <c r="AT49" s="102">
        <v>11</v>
      </c>
      <c r="AU49" s="103"/>
      <c r="AV49" s="103"/>
      <c r="AW49" s="103"/>
      <c r="AX49" s="103"/>
      <c r="AY49" s="103"/>
      <c r="AZ49" s="103"/>
      <c r="BA49" s="103"/>
      <c r="BB49" s="103"/>
      <c r="BC49" s="102">
        <v>9</v>
      </c>
      <c r="BD49" s="103"/>
      <c r="BE49" s="103"/>
      <c r="BF49" s="103"/>
      <c r="BG49" s="103"/>
      <c r="BH49" s="103"/>
      <c r="BI49" s="103"/>
      <c r="BJ49" s="103"/>
      <c r="BK49" s="103"/>
      <c r="BL49" s="102">
        <v>14</v>
      </c>
      <c r="BM49" s="103"/>
      <c r="BN49" s="103"/>
      <c r="BO49" s="103"/>
      <c r="BP49" s="103"/>
      <c r="BQ49" s="103"/>
      <c r="BR49" s="103"/>
      <c r="BS49" s="103"/>
      <c r="BT49" s="103"/>
      <c r="BU49" s="102">
        <v>18</v>
      </c>
      <c r="BV49" s="103"/>
      <c r="BW49" s="103"/>
      <c r="BX49" s="103"/>
      <c r="BY49" s="103"/>
      <c r="BZ49" s="103"/>
      <c r="CA49" s="103"/>
      <c r="CB49" s="103"/>
      <c r="CC49" s="103"/>
      <c r="CD49" s="102">
        <v>21</v>
      </c>
      <c r="CE49" s="103"/>
      <c r="CF49" s="103"/>
      <c r="CG49" s="103"/>
      <c r="CH49" s="103"/>
      <c r="CI49" s="103"/>
      <c r="CJ49" s="103"/>
      <c r="CK49" s="103"/>
      <c r="CL49" s="103"/>
      <c r="CM49" s="102">
        <v>16</v>
      </c>
      <c r="CN49" s="103"/>
      <c r="CO49" s="103"/>
      <c r="CP49" s="103"/>
      <c r="CQ49" s="103"/>
      <c r="CR49" s="103"/>
      <c r="CS49" s="103"/>
      <c r="CT49" s="103"/>
      <c r="CU49" s="104"/>
      <c r="CV49" s="37"/>
    </row>
    <row r="50" spans="1:100" ht="12" customHeight="1" x14ac:dyDescent="0.25">
      <c r="A50" s="111" t="s">
        <v>352</v>
      </c>
      <c r="B50" s="111"/>
      <c r="C50" s="111"/>
      <c r="D50" s="111"/>
      <c r="E50" s="111"/>
      <c r="F50" s="111"/>
      <c r="G50" s="111"/>
      <c r="H50" s="111"/>
      <c r="I50" s="112"/>
      <c r="J50" s="102">
        <v>10</v>
      </c>
      <c r="K50" s="103"/>
      <c r="L50" s="103"/>
      <c r="M50" s="103"/>
      <c r="N50" s="103"/>
      <c r="O50" s="103"/>
      <c r="P50" s="103"/>
      <c r="Q50" s="103"/>
      <c r="R50" s="103"/>
      <c r="S50" s="102">
        <v>14</v>
      </c>
      <c r="T50" s="103"/>
      <c r="U50" s="103"/>
      <c r="V50" s="103"/>
      <c r="W50" s="103"/>
      <c r="X50" s="103"/>
      <c r="Y50" s="103"/>
      <c r="Z50" s="103"/>
      <c r="AA50" s="103"/>
      <c r="AB50" s="102">
        <v>16</v>
      </c>
      <c r="AC50" s="103"/>
      <c r="AD50" s="103"/>
      <c r="AE50" s="103"/>
      <c r="AF50" s="103"/>
      <c r="AG50" s="103"/>
      <c r="AH50" s="103"/>
      <c r="AI50" s="103"/>
      <c r="AJ50" s="103"/>
      <c r="AK50" s="102">
        <v>13</v>
      </c>
      <c r="AL50" s="103"/>
      <c r="AM50" s="103"/>
      <c r="AN50" s="103"/>
      <c r="AO50" s="103"/>
      <c r="AP50" s="103"/>
      <c r="AQ50" s="103"/>
      <c r="AR50" s="103"/>
      <c r="AS50" s="103"/>
      <c r="AT50" s="102">
        <v>18</v>
      </c>
      <c r="AU50" s="103"/>
      <c r="AV50" s="103"/>
      <c r="AW50" s="103"/>
      <c r="AX50" s="103"/>
      <c r="AY50" s="103"/>
      <c r="AZ50" s="103"/>
      <c r="BA50" s="103"/>
      <c r="BB50" s="103"/>
      <c r="BC50" s="102">
        <v>16</v>
      </c>
      <c r="BD50" s="103"/>
      <c r="BE50" s="103"/>
      <c r="BF50" s="103"/>
      <c r="BG50" s="103"/>
      <c r="BH50" s="103"/>
      <c r="BI50" s="103"/>
      <c r="BJ50" s="103"/>
      <c r="BK50" s="103"/>
      <c r="BL50" s="102">
        <v>13</v>
      </c>
      <c r="BM50" s="103"/>
      <c r="BN50" s="103"/>
      <c r="BO50" s="103"/>
      <c r="BP50" s="103"/>
      <c r="BQ50" s="103"/>
      <c r="BR50" s="103"/>
      <c r="BS50" s="103"/>
      <c r="BT50" s="103"/>
      <c r="BU50" s="102">
        <v>16</v>
      </c>
      <c r="BV50" s="103"/>
      <c r="BW50" s="103"/>
      <c r="BX50" s="103"/>
      <c r="BY50" s="103"/>
      <c r="BZ50" s="103"/>
      <c r="CA50" s="103"/>
      <c r="CB50" s="103"/>
      <c r="CC50" s="103"/>
      <c r="CD50" s="102">
        <v>12</v>
      </c>
      <c r="CE50" s="103"/>
      <c r="CF50" s="103"/>
      <c r="CG50" s="103"/>
      <c r="CH50" s="103"/>
      <c r="CI50" s="103"/>
      <c r="CJ50" s="103"/>
      <c r="CK50" s="103"/>
      <c r="CL50" s="103"/>
      <c r="CM50" s="102">
        <v>17</v>
      </c>
      <c r="CN50" s="103"/>
      <c r="CO50" s="103"/>
      <c r="CP50" s="103"/>
      <c r="CQ50" s="103"/>
      <c r="CR50" s="103"/>
      <c r="CS50" s="103"/>
      <c r="CT50" s="103"/>
      <c r="CU50" s="104"/>
      <c r="CV50" s="37"/>
    </row>
    <row r="51" spans="1:100" ht="12" customHeight="1" x14ac:dyDescent="0.25">
      <c r="A51" s="111" t="s">
        <v>353</v>
      </c>
      <c r="B51" s="111"/>
      <c r="C51" s="111"/>
      <c r="D51" s="111"/>
      <c r="E51" s="111"/>
      <c r="F51" s="111"/>
      <c r="G51" s="111"/>
      <c r="H51" s="111"/>
      <c r="I51" s="112"/>
      <c r="J51" s="102">
        <v>10</v>
      </c>
      <c r="K51" s="103"/>
      <c r="L51" s="103"/>
      <c r="M51" s="103"/>
      <c r="N51" s="103"/>
      <c r="O51" s="103"/>
      <c r="P51" s="103"/>
      <c r="Q51" s="103"/>
      <c r="R51" s="103"/>
      <c r="S51" s="102">
        <v>15</v>
      </c>
      <c r="T51" s="103"/>
      <c r="U51" s="103"/>
      <c r="V51" s="103"/>
      <c r="W51" s="103"/>
      <c r="X51" s="103"/>
      <c r="Y51" s="103"/>
      <c r="Z51" s="103"/>
      <c r="AA51" s="103"/>
      <c r="AB51" s="102">
        <v>13</v>
      </c>
      <c r="AC51" s="103"/>
      <c r="AD51" s="103"/>
      <c r="AE51" s="103"/>
      <c r="AF51" s="103"/>
      <c r="AG51" s="103"/>
      <c r="AH51" s="103"/>
      <c r="AI51" s="103"/>
      <c r="AJ51" s="103"/>
      <c r="AK51" s="102">
        <v>16</v>
      </c>
      <c r="AL51" s="103"/>
      <c r="AM51" s="103"/>
      <c r="AN51" s="103"/>
      <c r="AO51" s="103"/>
      <c r="AP51" s="103"/>
      <c r="AQ51" s="103"/>
      <c r="AR51" s="103"/>
      <c r="AS51" s="103"/>
      <c r="AT51" s="102">
        <v>17</v>
      </c>
      <c r="AU51" s="103"/>
      <c r="AV51" s="103"/>
      <c r="AW51" s="103"/>
      <c r="AX51" s="103"/>
      <c r="AY51" s="103"/>
      <c r="AZ51" s="103"/>
      <c r="BA51" s="103"/>
      <c r="BB51" s="103"/>
      <c r="BC51" s="102">
        <v>17</v>
      </c>
      <c r="BD51" s="103"/>
      <c r="BE51" s="103"/>
      <c r="BF51" s="103"/>
      <c r="BG51" s="103"/>
      <c r="BH51" s="103"/>
      <c r="BI51" s="103"/>
      <c r="BJ51" s="103"/>
      <c r="BK51" s="103"/>
      <c r="BL51" s="102">
        <v>16</v>
      </c>
      <c r="BM51" s="103"/>
      <c r="BN51" s="103"/>
      <c r="BO51" s="103"/>
      <c r="BP51" s="103"/>
      <c r="BQ51" s="103"/>
      <c r="BR51" s="103"/>
      <c r="BS51" s="103"/>
      <c r="BT51" s="103"/>
      <c r="BU51" s="102">
        <v>12</v>
      </c>
      <c r="BV51" s="103"/>
      <c r="BW51" s="103"/>
      <c r="BX51" s="103"/>
      <c r="BY51" s="103"/>
      <c r="BZ51" s="103"/>
      <c r="CA51" s="103"/>
      <c r="CB51" s="103"/>
      <c r="CC51" s="103"/>
      <c r="CD51" s="102">
        <v>13</v>
      </c>
      <c r="CE51" s="103"/>
      <c r="CF51" s="103"/>
      <c r="CG51" s="103"/>
      <c r="CH51" s="103"/>
      <c r="CI51" s="103"/>
      <c r="CJ51" s="103"/>
      <c r="CK51" s="103"/>
      <c r="CL51" s="103"/>
      <c r="CM51" s="102">
        <v>14</v>
      </c>
      <c r="CN51" s="103"/>
      <c r="CO51" s="103"/>
      <c r="CP51" s="103"/>
      <c r="CQ51" s="103"/>
      <c r="CR51" s="103"/>
      <c r="CS51" s="103"/>
      <c r="CT51" s="103"/>
      <c r="CU51" s="104"/>
      <c r="CV51" s="37"/>
    </row>
    <row r="52" spans="1:100" ht="12" customHeight="1" x14ac:dyDescent="0.25">
      <c r="A52" s="111" t="s">
        <v>354</v>
      </c>
      <c r="B52" s="111"/>
      <c r="C52" s="111"/>
      <c r="D52" s="111"/>
      <c r="E52" s="111"/>
      <c r="F52" s="111"/>
      <c r="G52" s="111"/>
      <c r="H52" s="111"/>
      <c r="I52" s="112"/>
      <c r="J52" s="102">
        <v>10</v>
      </c>
      <c r="K52" s="103"/>
      <c r="L52" s="103"/>
      <c r="M52" s="103"/>
      <c r="N52" s="103"/>
      <c r="O52" s="103"/>
      <c r="P52" s="103"/>
      <c r="Q52" s="103"/>
      <c r="R52" s="103"/>
      <c r="S52" s="102">
        <v>14</v>
      </c>
      <c r="T52" s="103"/>
      <c r="U52" s="103"/>
      <c r="V52" s="103"/>
      <c r="W52" s="103"/>
      <c r="X52" s="103"/>
      <c r="Y52" s="103"/>
      <c r="Z52" s="103"/>
      <c r="AA52" s="103"/>
      <c r="AB52" s="102">
        <v>15</v>
      </c>
      <c r="AC52" s="103"/>
      <c r="AD52" s="103"/>
      <c r="AE52" s="103"/>
      <c r="AF52" s="103"/>
      <c r="AG52" s="103"/>
      <c r="AH52" s="103"/>
      <c r="AI52" s="103"/>
      <c r="AJ52" s="103"/>
      <c r="AK52" s="102">
        <v>17</v>
      </c>
      <c r="AL52" s="103"/>
      <c r="AM52" s="103"/>
      <c r="AN52" s="103"/>
      <c r="AO52" s="103"/>
      <c r="AP52" s="103"/>
      <c r="AQ52" s="103"/>
      <c r="AR52" s="103"/>
      <c r="AS52" s="103"/>
      <c r="AT52" s="102">
        <v>13</v>
      </c>
      <c r="AU52" s="103"/>
      <c r="AV52" s="103"/>
      <c r="AW52" s="103"/>
      <c r="AX52" s="103"/>
      <c r="AY52" s="103"/>
      <c r="AZ52" s="103"/>
      <c r="BA52" s="103"/>
      <c r="BB52" s="103"/>
      <c r="BC52" s="102">
        <v>17</v>
      </c>
      <c r="BD52" s="103"/>
      <c r="BE52" s="103"/>
      <c r="BF52" s="103"/>
      <c r="BG52" s="103"/>
      <c r="BH52" s="103"/>
      <c r="BI52" s="103"/>
      <c r="BJ52" s="103"/>
      <c r="BK52" s="103"/>
      <c r="BL52" s="102">
        <v>12</v>
      </c>
      <c r="BM52" s="103"/>
      <c r="BN52" s="103"/>
      <c r="BO52" s="103"/>
      <c r="BP52" s="103"/>
      <c r="BQ52" s="103"/>
      <c r="BR52" s="103"/>
      <c r="BS52" s="103"/>
      <c r="BT52" s="103"/>
      <c r="BU52" s="102">
        <v>18</v>
      </c>
      <c r="BV52" s="103"/>
      <c r="BW52" s="103"/>
      <c r="BX52" s="103"/>
      <c r="BY52" s="103"/>
      <c r="BZ52" s="103"/>
      <c r="CA52" s="103"/>
      <c r="CB52" s="103"/>
      <c r="CC52" s="103"/>
      <c r="CD52" s="102">
        <v>13</v>
      </c>
      <c r="CE52" s="103"/>
      <c r="CF52" s="103"/>
      <c r="CG52" s="103"/>
      <c r="CH52" s="103"/>
      <c r="CI52" s="103"/>
      <c r="CJ52" s="103"/>
      <c r="CK52" s="103"/>
      <c r="CL52" s="103"/>
      <c r="CM52" s="102">
        <v>12</v>
      </c>
      <c r="CN52" s="103"/>
      <c r="CO52" s="103"/>
      <c r="CP52" s="103"/>
      <c r="CQ52" s="103"/>
      <c r="CR52" s="103"/>
      <c r="CS52" s="103"/>
      <c r="CT52" s="103"/>
      <c r="CU52" s="103"/>
      <c r="CV52" s="37"/>
    </row>
    <row r="53" spans="1:100" ht="12" customHeight="1" x14ac:dyDescent="0.25">
      <c r="A53" s="111" t="s">
        <v>355</v>
      </c>
      <c r="B53" s="111"/>
      <c r="C53" s="111"/>
      <c r="D53" s="111"/>
      <c r="E53" s="111"/>
      <c r="F53" s="111"/>
      <c r="G53" s="111"/>
      <c r="H53" s="111"/>
      <c r="I53" s="112"/>
      <c r="J53" s="102">
        <f>DexModifier(J51)</f>
        <v>0</v>
      </c>
      <c r="K53" s="103"/>
      <c r="L53" s="103"/>
      <c r="M53" s="103"/>
      <c r="N53" s="103"/>
      <c r="O53" s="103"/>
      <c r="P53" s="103"/>
      <c r="Q53" s="103"/>
      <c r="R53" s="104"/>
      <c r="S53" s="102">
        <f t="shared" ref="S53" si="6">DexModifier(S51)</f>
        <v>2</v>
      </c>
      <c r="T53" s="103"/>
      <c r="U53" s="103"/>
      <c r="V53" s="103"/>
      <c r="W53" s="103"/>
      <c r="X53" s="103"/>
      <c r="Y53" s="103"/>
      <c r="Z53" s="103"/>
      <c r="AA53" s="104"/>
      <c r="AB53" s="102">
        <f t="shared" ref="AB53" si="7">DexModifier(AB51)</f>
        <v>1</v>
      </c>
      <c r="AC53" s="103"/>
      <c r="AD53" s="103"/>
      <c r="AE53" s="103"/>
      <c r="AF53" s="103"/>
      <c r="AG53" s="103"/>
      <c r="AH53" s="103"/>
      <c r="AI53" s="103"/>
      <c r="AJ53" s="104"/>
      <c r="AK53" s="102">
        <f t="shared" ref="AK53" si="8">DexModifier(AK51)</f>
        <v>3</v>
      </c>
      <c r="AL53" s="103"/>
      <c r="AM53" s="103"/>
      <c r="AN53" s="103"/>
      <c r="AO53" s="103"/>
      <c r="AP53" s="103"/>
      <c r="AQ53" s="103"/>
      <c r="AR53" s="103"/>
      <c r="AS53" s="104"/>
      <c r="AT53" s="102">
        <f t="shared" ref="AT53" si="9">DexModifier(AT51)</f>
        <v>3</v>
      </c>
      <c r="AU53" s="103"/>
      <c r="AV53" s="103"/>
      <c r="AW53" s="103"/>
      <c r="AX53" s="103"/>
      <c r="AY53" s="103"/>
      <c r="AZ53" s="103"/>
      <c r="BA53" s="103"/>
      <c r="BB53" s="104"/>
      <c r="BC53" s="102">
        <f t="shared" ref="BC53" si="10">DexModifier(BC51)</f>
        <v>3</v>
      </c>
      <c r="BD53" s="103"/>
      <c r="BE53" s="103"/>
      <c r="BF53" s="103"/>
      <c r="BG53" s="103"/>
      <c r="BH53" s="103"/>
      <c r="BI53" s="103"/>
      <c r="BJ53" s="103"/>
      <c r="BK53" s="104"/>
      <c r="BL53" s="102">
        <f t="shared" ref="BL53" si="11">DexModifier(BL51)</f>
        <v>3</v>
      </c>
      <c r="BM53" s="103"/>
      <c r="BN53" s="103"/>
      <c r="BO53" s="103"/>
      <c r="BP53" s="103"/>
      <c r="BQ53" s="103"/>
      <c r="BR53" s="103"/>
      <c r="BS53" s="103"/>
      <c r="BT53" s="104"/>
      <c r="BU53" s="102">
        <f t="shared" ref="BU53" si="12">DexModifier(BU51)</f>
        <v>1</v>
      </c>
      <c r="BV53" s="103"/>
      <c r="BW53" s="103"/>
      <c r="BX53" s="103"/>
      <c r="BY53" s="103"/>
      <c r="BZ53" s="103"/>
      <c r="CA53" s="103"/>
      <c r="CB53" s="103"/>
      <c r="CC53" s="104"/>
      <c r="CD53" s="102">
        <f t="shared" ref="CD53" si="13">DexModifier(CD51)</f>
        <v>1</v>
      </c>
      <c r="CE53" s="103"/>
      <c r="CF53" s="103"/>
      <c r="CG53" s="103"/>
      <c r="CH53" s="103"/>
      <c r="CI53" s="103"/>
      <c r="CJ53" s="103"/>
      <c r="CK53" s="103"/>
      <c r="CL53" s="104"/>
      <c r="CM53" s="102">
        <f t="shared" ref="CM53" si="14">DexModifier(CM51)</f>
        <v>2</v>
      </c>
      <c r="CN53" s="103"/>
      <c r="CO53" s="103"/>
      <c r="CP53" s="103"/>
      <c r="CQ53" s="103"/>
      <c r="CR53" s="103"/>
      <c r="CS53" s="103"/>
      <c r="CT53" s="103"/>
      <c r="CU53" s="104"/>
      <c r="CV53" s="37"/>
    </row>
    <row r="54" spans="1:100" ht="12" customHeight="1" x14ac:dyDescent="0.25">
      <c r="A54" s="115" t="s">
        <v>356</v>
      </c>
      <c r="B54" s="115"/>
      <c r="C54" s="115"/>
      <c r="D54" s="115"/>
      <c r="E54" s="115"/>
      <c r="F54" s="115"/>
      <c r="G54" s="115"/>
      <c r="H54" s="115"/>
      <c r="I54" s="116"/>
      <c r="J54" s="125" t="str">
        <f>LiftingCarrying(J50,J21,Races[])</f>
        <v>Push/Drag/Lift: 600_x000D_
 Carrying Capacity: 300</v>
      </c>
      <c r="K54" s="126"/>
      <c r="L54" s="126"/>
      <c r="M54" s="126"/>
      <c r="N54" s="126"/>
      <c r="O54" s="126"/>
      <c r="P54" s="126"/>
      <c r="Q54" s="126"/>
      <c r="R54" s="126"/>
      <c r="S54" s="125" t="str">
        <f>LiftingCarrying(S50,S21,Races[])</f>
        <v>Push/Drag/Lift: 420_x000D_
 Carrying Capacity: 210</v>
      </c>
      <c r="T54" s="126"/>
      <c r="U54" s="126"/>
      <c r="V54" s="126"/>
      <c r="W54" s="126"/>
      <c r="X54" s="126"/>
      <c r="Y54" s="126"/>
      <c r="Z54" s="126"/>
      <c r="AA54" s="126"/>
      <c r="AB54" s="125" t="str">
        <f>LiftingCarrying(AB50,AB21,Races[])</f>
        <v>Push/Drag/Lift: 960_x000D_
 Carrying Capacity: 480</v>
      </c>
      <c r="AC54" s="126"/>
      <c r="AD54" s="126"/>
      <c r="AE54" s="126"/>
      <c r="AF54" s="126"/>
      <c r="AG54" s="126"/>
      <c r="AH54" s="126"/>
      <c r="AI54" s="126"/>
      <c r="AJ54" s="126"/>
      <c r="AK54" s="125" t="str">
        <f>LiftingCarrying(AK50,AK21,Races[])</f>
        <v>Push/Drag/Lift: 390_x000D_
 Carrying Capacity: 195</v>
      </c>
      <c r="AL54" s="126"/>
      <c r="AM54" s="126"/>
      <c r="AN54" s="126"/>
      <c r="AO54" s="126"/>
      <c r="AP54" s="126"/>
      <c r="AQ54" s="126"/>
      <c r="AR54" s="126"/>
      <c r="AS54" s="126"/>
      <c r="AT54" s="125" t="str">
        <f>LiftingCarrying(AT50,AT21,Races[])</f>
        <v>Push/Drag/Lift: 1080_x000D_
 Carrying Capacity: 540</v>
      </c>
      <c r="AU54" s="126"/>
      <c r="AV54" s="126"/>
      <c r="AW54" s="126"/>
      <c r="AX54" s="126"/>
      <c r="AY54" s="126"/>
      <c r="AZ54" s="126"/>
      <c r="BA54" s="126"/>
      <c r="BB54" s="126"/>
      <c r="BC54" s="125" t="str">
        <f>LiftingCarrying(BC50,BC21,Races[])</f>
        <v>Push/Drag/Lift: 480_x000D_
 Carrying Capacity: 240</v>
      </c>
      <c r="BD54" s="126"/>
      <c r="BE54" s="126"/>
      <c r="BF54" s="126"/>
      <c r="BG54" s="126"/>
      <c r="BH54" s="126"/>
      <c r="BI54" s="126"/>
      <c r="BJ54" s="126"/>
      <c r="BK54" s="126"/>
      <c r="BL54" s="125" t="str">
        <f>LiftingCarrying(BL50,BL21,Races[])</f>
        <v>Push/Drag/Lift: 390_x000D_
 Carrying Capacity: 195</v>
      </c>
      <c r="BM54" s="126"/>
      <c r="BN54" s="126"/>
      <c r="BO54" s="126"/>
      <c r="BP54" s="126"/>
      <c r="BQ54" s="126"/>
      <c r="BR54" s="126"/>
      <c r="BS54" s="126"/>
      <c r="BT54" s="126"/>
      <c r="BU54" s="125" t="str">
        <f>LiftingCarrying(BU50,BU21,Races[])</f>
        <v>Push/Drag/Lift: 480_x000D_
 Carrying Capacity: 240</v>
      </c>
      <c r="BV54" s="126"/>
      <c r="BW54" s="126"/>
      <c r="BX54" s="126"/>
      <c r="BY54" s="126"/>
      <c r="BZ54" s="126"/>
      <c r="CA54" s="126"/>
      <c r="CB54" s="126"/>
      <c r="CC54" s="126"/>
      <c r="CD54" s="125" t="str">
        <f>LiftingCarrying(CD50,CD21,Races[])</f>
        <v>Push/Drag/Lift: 360_x000D_
 Carrying Capacity: 180</v>
      </c>
      <c r="CE54" s="126"/>
      <c r="CF54" s="126"/>
      <c r="CG54" s="126"/>
      <c r="CH54" s="126"/>
      <c r="CI54" s="126"/>
      <c r="CJ54" s="126"/>
      <c r="CK54" s="126"/>
      <c r="CL54" s="126"/>
      <c r="CM54" s="125" t="str">
        <f>LiftingCarrying(CM50,CM21,Races[])</f>
        <v>Push/Drag/Lift: 510_x000D_
 Carrying Capacity: 255</v>
      </c>
      <c r="CN54" s="126"/>
      <c r="CO54" s="126"/>
      <c r="CP54" s="126"/>
      <c r="CQ54" s="126"/>
      <c r="CR54" s="126"/>
      <c r="CS54" s="126"/>
      <c r="CT54" s="126"/>
      <c r="CU54" s="165"/>
      <c r="CV54" s="37"/>
    </row>
    <row r="55" spans="1:100" ht="12" customHeight="1" x14ac:dyDescent="0.25">
      <c r="A55" s="115"/>
      <c r="B55" s="115"/>
      <c r="C55" s="115"/>
      <c r="D55" s="115"/>
      <c r="E55" s="115"/>
      <c r="F55" s="115"/>
      <c r="G55" s="115"/>
      <c r="H55" s="115"/>
      <c r="I55" s="116"/>
      <c r="J55" s="125"/>
      <c r="K55" s="126"/>
      <c r="L55" s="126"/>
      <c r="M55" s="126"/>
      <c r="N55" s="126"/>
      <c r="O55" s="126"/>
      <c r="P55" s="126"/>
      <c r="Q55" s="126"/>
      <c r="R55" s="126"/>
      <c r="S55" s="125"/>
      <c r="T55" s="126"/>
      <c r="U55" s="126"/>
      <c r="V55" s="126"/>
      <c r="W55" s="126"/>
      <c r="X55" s="126"/>
      <c r="Y55" s="126"/>
      <c r="Z55" s="126"/>
      <c r="AA55" s="126"/>
      <c r="AB55" s="125"/>
      <c r="AC55" s="126"/>
      <c r="AD55" s="126"/>
      <c r="AE55" s="126"/>
      <c r="AF55" s="126"/>
      <c r="AG55" s="126"/>
      <c r="AH55" s="126"/>
      <c r="AI55" s="126"/>
      <c r="AJ55" s="126"/>
      <c r="AK55" s="125"/>
      <c r="AL55" s="126"/>
      <c r="AM55" s="126"/>
      <c r="AN55" s="126"/>
      <c r="AO55" s="126"/>
      <c r="AP55" s="126"/>
      <c r="AQ55" s="126"/>
      <c r="AR55" s="126"/>
      <c r="AS55" s="126"/>
      <c r="AT55" s="125"/>
      <c r="AU55" s="126"/>
      <c r="AV55" s="126"/>
      <c r="AW55" s="126"/>
      <c r="AX55" s="126"/>
      <c r="AY55" s="126"/>
      <c r="AZ55" s="126"/>
      <c r="BA55" s="126"/>
      <c r="BB55" s="126"/>
      <c r="BC55" s="125"/>
      <c r="BD55" s="126"/>
      <c r="BE55" s="126"/>
      <c r="BF55" s="126"/>
      <c r="BG55" s="126"/>
      <c r="BH55" s="126"/>
      <c r="BI55" s="126"/>
      <c r="BJ55" s="126"/>
      <c r="BK55" s="126"/>
      <c r="BL55" s="125"/>
      <c r="BM55" s="126"/>
      <c r="BN55" s="126"/>
      <c r="BO55" s="126"/>
      <c r="BP55" s="126"/>
      <c r="BQ55" s="126"/>
      <c r="BR55" s="126"/>
      <c r="BS55" s="126"/>
      <c r="BT55" s="126"/>
      <c r="BU55" s="125"/>
      <c r="BV55" s="126"/>
      <c r="BW55" s="126"/>
      <c r="BX55" s="126"/>
      <c r="BY55" s="126"/>
      <c r="BZ55" s="126"/>
      <c r="CA55" s="126"/>
      <c r="CB55" s="126"/>
      <c r="CC55" s="126"/>
      <c r="CD55" s="125"/>
      <c r="CE55" s="126"/>
      <c r="CF55" s="126"/>
      <c r="CG55" s="126"/>
      <c r="CH55" s="126"/>
      <c r="CI55" s="126"/>
      <c r="CJ55" s="126"/>
      <c r="CK55" s="126"/>
      <c r="CL55" s="126"/>
      <c r="CM55" s="125"/>
      <c r="CN55" s="126"/>
      <c r="CO55" s="126"/>
      <c r="CP55" s="126"/>
      <c r="CQ55" s="126"/>
      <c r="CR55" s="126"/>
      <c r="CS55" s="126"/>
      <c r="CT55" s="126"/>
      <c r="CU55" s="165"/>
      <c r="CV55" s="37"/>
    </row>
    <row r="56" spans="1:100" ht="12" customHeight="1" x14ac:dyDescent="0.25">
      <c r="A56" s="115"/>
      <c r="B56" s="115"/>
      <c r="C56" s="115"/>
      <c r="D56" s="115"/>
      <c r="E56" s="115"/>
      <c r="F56" s="115"/>
      <c r="G56" s="115"/>
      <c r="H56" s="115"/>
      <c r="I56" s="116"/>
      <c r="J56" s="125"/>
      <c r="K56" s="126"/>
      <c r="L56" s="126"/>
      <c r="M56" s="126"/>
      <c r="N56" s="126"/>
      <c r="O56" s="126"/>
      <c r="P56" s="126"/>
      <c r="Q56" s="126"/>
      <c r="R56" s="126"/>
      <c r="S56" s="125"/>
      <c r="T56" s="126"/>
      <c r="U56" s="126"/>
      <c r="V56" s="126"/>
      <c r="W56" s="126"/>
      <c r="X56" s="126"/>
      <c r="Y56" s="126"/>
      <c r="Z56" s="126"/>
      <c r="AA56" s="126"/>
      <c r="AB56" s="125"/>
      <c r="AC56" s="126"/>
      <c r="AD56" s="126"/>
      <c r="AE56" s="126"/>
      <c r="AF56" s="126"/>
      <c r="AG56" s="126"/>
      <c r="AH56" s="126"/>
      <c r="AI56" s="126"/>
      <c r="AJ56" s="126"/>
      <c r="AK56" s="125"/>
      <c r="AL56" s="126"/>
      <c r="AM56" s="126"/>
      <c r="AN56" s="126"/>
      <c r="AO56" s="126"/>
      <c r="AP56" s="126"/>
      <c r="AQ56" s="126"/>
      <c r="AR56" s="126"/>
      <c r="AS56" s="126"/>
      <c r="AT56" s="125"/>
      <c r="AU56" s="126"/>
      <c r="AV56" s="126"/>
      <c r="AW56" s="126"/>
      <c r="AX56" s="126"/>
      <c r="AY56" s="126"/>
      <c r="AZ56" s="126"/>
      <c r="BA56" s="126"/>
      <c r="BB56" s="126"/>
      <c r="BC56" s="125"/>
      <c r="BD56" s="126"/>
      <c r="BE56" s="126"/>
      <c r="BF56" s="126"/>
      <c r="BG56" s="126"/>
      <c r="BH56" s="126"/>
      <c r="BI56" s="126"/>
      <c r="BJ56" s="126"/>
      <c r="BK56" s="126"/>
      <c r="BL56" s="125"/>
      <c r="BM56" s="126"/>
      <c r="BN56" s="126"/>
      <c r="BO56" s="126"/>
      <c r="BP56" s="126"/>
      <c r="BQ56" s="126"/>
      <c r="BR56" s="126"/>
      <c r="BS56" s="126"/>
      <c r="BT56" s="126"/>
      <c r="BU56" s="125"/>
      <c r="BV56" s="126"/>
      <c r="BW56" s="126"/>
      <c r="BX56" s="126"/>
      <c r="BY56" s="126"/>
      <c r="BZ56" s="126"/>
      <c r="CA56" s="126"/>
      <c r="CB56" s="126"/>
      <c r="CC56" s="126"/>
      <c r="CD56" s="125"/>
      <c r="CE56" s="126"/>
      <c r="CF56" s="126"/>
      <c r="CG56" s="126"/>
      <c r="CH56" s="126"/>
      <c r="CI56" s="126"/>
      <c r="CJ56" s="126"/>
      <c r="CK56" s="126"/>
      <c r="CL56" s="126"/>
      <c r="CM56" s="125"/>
      <c r="CN56" s="126"/>
      <c r="CO56" s="126"/>
      <c r="CP56" s="126"/>
      <c r="CQ56" s="126"/>
      <c r="CR56" s="126"/>
      <c r="CS56" s="126"/>
      <c r="CT56" s="126"/>
      <c r="CU56" s="165"/>
      <c r="CV56" s="37"/>
    </row>
    <row r="57" spans="1:100" ht="12" customHeight="1" x14ac:dyDescent="0.25">
      <c r="A57" s="115" t="s">
        <v>357</v>
      </c>
      <c r="B57" s="115"/>
      <c r="C57" s="115"/>
      <c r="D57" s="115"/>
      <c r="E57" s="115"/>
      <c r="F57" s="115"/>
      <c r="G57" s="115"/>
      <c r="H57" s="115"/>
      <c r="I57" s="116"/>
      <c r="J57" s="102"/>
      <c r="K57" s="103"/>
      <c r="L57" s="103"/>
      <c r="M57" s="103"/>
      <c r="N57" s="103"/>
      <c r="O57" s="103"/>
      <c r="P57" s="103"/>
      <c r="Q57" s="103"/>
      <c r="R57" s="103"/>
      <c r="S57" s="102" t="s">
        <v>58</v>
      </c>
      <c r="T57" s="103"/>
      <c r="U57" s="103"/>
      <c r="V57" s="103"/>
      <c r="W57" s="103"/>
      <c r="X57" s="103"/>
      <c r="Y57" s="103"/>
      <c r="Z57" s="103"/>
      <c r="AA57" s="103"/>
      <c r="AB57" s="102"/>
      <c r="AC57" s="103"/>
      <c r="AD57" s="103"/>
      <c r="AE57" s="103"/>
      <c r="AF57" s="103"/>
      <c r="AG57" s="103"/>
      <c r="AH57" s="103"/>
      <c r="AI57" s="103"/>
      <c r="AJ57" s="103"/>
      <c r="AK57" s="102"/>
      <c r="AL57" s="103"/>
      <c r="AM57" s="103"/>
      <c r="AN57" s="103"/>
      <c r="AO57" s="103"/>
      <c r="AP57" s="103"/>
      <c r="AQ57" s="103"/>
      <c r="AR57" s="103"/>
      <c r="AS57" s="103"/>
      <c r="AT57" s="102" t="s">
        <v>58</v>
      </c>
      <c r="AU57" s="103"/>
      <c r="AV57" s="103"/>
      <c r="AW57" s="103"/>
      <c r="AX57" s="103"/>
      <c r="AY57" s="103"/>
      <c r="AZ57" s="103"/>
      <c r="BA57" s="103"/>
      <c r="BB57" s="103"/>
      <c r="BC57" s="102"/>
      <c r="BD57" s="103"/>
      <c r="BE57" s="103"/>
      <c r="BF57" s="103"/>
      <c r="BG57" s="103"/>
      <c r="BH57" s="103"/>
      <c r="BI57" s="103"/>
      <c r="BJ57" s="103"/>
      <c r="BK57" s="103"/>
      <c r="BL57" s="102" t="s">
        <v>58</v>
      </c>
      <c r="BM57" s="103"/>
      <c r="BN57" s="103"/>
      <c r="BO57" s="103"/>
      <c r="BP57" s="103"/>
      <c r="BQ57" s="103"/>
      <c r="BR57" s="103"/>
      <c r="BS57" s="103"/>
      <c r="BT57" s="103"/>
      <c r="BU57" s="102" t="s">
        <v>58</v>
      </c>
      <c r="BV57" s="103"/>
      <c r="BW57" s="103"/>
      <c r="BX57" s="103"/>
      <c r="BY57" s="103"/>
      <c r="BZ57" s="103"/>
      <c r="CA57" s="103"/>
      <c r="CB57" s="103"/>
      <c r="CC57" s="103"/>
      <c r="CD57" s="102"/>
      <c r="CE57" s="103"/>
      <c r="CF57" s="103"/>
      <c r="CG57" s="103"/>
      <c r="CH57" s="103"/>
      <c r="CI57" s="103"/>
      <c r="CJ57" s="103"/>
      <c r="CK57" s="103"/>
      <c r="CL57" s="103"/>
      <c r="CM57" s="102"/>
      <c r="CN57" s="103"/>
      <c r="CO57" s="103"/>
      <c r="CP57" s="103"/>
      <c r="CQ57" s="103"/>
      <c r="CR57" s="103"/>
      <c r="CS57" s="103"/>
      <c r="CT57" s="103"/>
      <c r="CU57" s="104"/>
      <c r="CV57" s="37"/>
    </row>
    <row r="58" spans="1:100" ht="12" customHeight="1" x14ac:dyDescent="0.25">
      <c r="A58" s="115" t="s">
        <v>140</v>
      </c>
      <c r="B58" s="115"/>
      <c r="C58" s="115"/>
      <c r="D58" s="115"/>
      <c r="E58" s="115"/>
      <c r="F58" s="115"/>
      <c r="G58" s="115"/>
      <c r="H58" s="115"/>
      <c r="I58" s="116"/>
      <c r="J58" s="117"/>
      <c r="K58" s="118"/>
      <c r="L58" s="118"/>
      <c r="M58" s="118"/>
      <c r="N58" s="118"/>
      <c r="O58" s="118"/>
      <c r="P58" s="118"/>
      <c r="Q58" s="118"/>
      <c r="R58" s="118"/>
      <c r="S58" s="117" t="s">
        <v>196</v>
      </c>
      <c r="T58" s="118"/>
      <c r="U58" s="118"/>
      <c r="V58" s="118"/>
      <c r="W58" s="118"/>
      <c r="X58" s="118"/>
      <c r="Y58" s="118"/>
      <c r="Z58" s="118"/>
      <c r="AA58" s="118"/>
      <c r="AB58" s="117" t="s">
        <v>245</v>
      </c>
      <c r="AC58" s="118"/>
      <c r="AD58" s="118"/>
      <c r="AE58" s="118"/>
      <c r="AF58" s="118"/>
      <c r="AG58" s="118"/>
      <c r="AH58" s="118"/>
      <c r="AI58" s="118"/>
      <c r="AJ58" s="118"/>
      <c r="AK58" s="117" t="s">
        <v>178</v>
      </c>
      <c r="AL58" s="118"/>
      <c r="AM58" s="118"/>
      <c r="AN58" s="118"/>
      <c r="AO58" s="118"/>
      <c r="AP58" s="118"/>
      <c r="AQ58" s="118"/>
      <c r="AR58" s="118"/>
      <c r="AS58" s="118"/>
      <c r="AT58" s="117" t="s">
        <v>259</v>
      </c>
      <c r="AU58" s="118"/>
      <c r="AV58" s="118"/>
      <c r="AW58" s="118"/>
      <c r="AX58" s="118"/>
      <c r="AY58" s="118"/>
      <c r="AZ58" s="118"/>
      <c r="BA58" s="118"/>
      <c r="BB58" s="118"/>
      <c r="BC58" s="117"/>
      <c r="BD58" s="118"/>
      <c r="BE58" s="118"/>
      <c r="BF58" s="118"/>
      <c r="BG58" s="118"/>
      <c r="BH58" s="118"/>
      <c r="BI58" s="118"/>
      <c r="BJ58" s="118"/>
      <c r="BK58" s="118"/>
      <c r="BL58" s="117" t="s">
        <v>170</v>
      </c>
      <c r="BM58" s="118"/>
      <c r="BN58" s="118"/>
      <c r="BO58" s="118"/>
      <c r="BP58" s="118"/>
      <c r="BQ58" s="118"/>
      <c r="BR58" s="118"/>
      <c r="BS58" s="118"/>
      <c r="BT58" s="118"/>
      <c r="BU58" s="117" t="s">
        <v>205</v>
      </c>
      <c r="BV58" s="118"/>
      <c r="BW58" s="118"/>
      <c r="BX58" s="118"/>
      <c r="BY58" s="118"/>
      <c r="BZ58" s="118"/>
      <c r="CA58" s="118"/>
      <c r="CB58" s="118"/>
      <c r="CC58" s="118"/>
      <c r="CD58" s="117"/>
      <c r="CE58" s="118"/>
      <c r="CF58" s="118"/>
      <c r="CG58" s="118"/>
      <c r="CH58" s="118"/>
      <c r="CI58" s="118"/>
      <c r="CJ58" s="118"/>
      <c r="CK58" s="118"/>
      <c r="CL58" s="118"/>
      <c r="CM58" s="117" t="s">
        <v>178</v>
      </c>
      <c r="CN58" s="118"/>
      <c r="CO58" s="118"/>
      <c r="CP58" s="118"/>
      <c r="CQ58" s="118"/>
      <c r="CR58" s="118"/>
      <c r="CS58" s="118"/>
      <c r="CT58" s="118"/>
      <c r="CU58" s="161"/>
      <c r="CV58" s="37"/>
    </row>
    <row r="59" spans="1:100" ht="12" customHeight="1" x14ac:dyDescent="0.25">
      <c r="A59" s="115"/>
      <c r="B59" s="115"/>
      <c r="C59" s="115"/>
      <c r="D59" s="115"/>
      <c r="E59" s="115"/>
      <c r="F59" s="115"/>
      <c r="G59" s="115"/>
      <c r="H59" s="115"/>
      <c r="I59" s="116"/>
      <c r="J59" s="117"/>
      <c r="K59" s="118"/>
      <c r="L59" s="118"/>
      <c r="M59" s="118"/>
      <c r="N59" s="118"/>
      <c r="O59" s="118"/>
      <c r="P59" s="118"/>
      <c r="Q59" s="118"/>
      <c r="R59" s="118"/>
      <c r="S59" s="117"/>
      <c r="T59" s="118"/>
      <c r="U59" s="118"/>
      <c r="V59" s="118"/>
      <c r="W59" s="118"/>
      <c r="X59" s="118"/>
      <c r="Y59" s="118"/>
      <c r="Z59" s="118"/>
      <c r="AA59" s="118"/>
      <c r="AB59" s="117"/>
      <c r="AC59" s="118"/>
      <c r="AD59" s="118"/>
      <c r="AE59" s="118"/>
      <c r="AF59" s="118"/>
      <c r="AG59" s="118"/>
      <c r="AH59" s="118"/>
      <c r="AI59" s="118"/>
      <c r="AJ59" s="118"/>
      <c r="AK59" s="117"/>
      <c r="AL59" s="118"/>
      <c r="AM59" s="118"/>
      <c r="AN59" s="118"/>
      <c r="AO59" s="118"/>
      <c r="AP59" s="118"/>
      <c r="AQ59" s="118"/>
      <c r="AR59" s="118"/>
      <c r="AS59" s="118"/>
      <c r="AT59" s="117"/>
      <c r="AU59" s="118"/>
      <c r="AV59" s="118"/>
      <c r="AW59" s="118"/>
      <c r="AX59" s="118"/>
      <c r="AY59" s="118"/>
      <c r="AZ59" s="118"/>
      <c r="BA59" s="118"/>
      <c r="BB59" s="118"/>
      <c r="BC59" s="117"/>
      <c r="BD59" s="118"/>
      <c r="BE59" s="118"/>
      <c r="BF59" s="118"/>
      <c r="BG59" s="118"/>
      <c r="BH59" s="118"/>
      <c r="BI59" s="118"/>
      <c r="BJ59" s="118"/>
      <c r="BK59" s="118"/>
      <c r="BL59" s="117"/>
      <c r="BM59" s="118"/>
      <c r="BN59" s="118"/>
      <c r="BO59" s="118"/>
      <c r="BP59" s="118"/>
      <c r="BQ59" s="118"/>
      <c r="BR59" s="118"/>
      <c r="BS59" s="118"/>
      <c r="BT59" s="118"/>
      <c r="BU59" s="117"/>
      <c r="BV59" s="118"/>
      <c r="BW59" s="118"/>
      <c r="BX59" s="118"/>
      <c r="BY59" s="118"/>
      <c r="BZ59" s="118"/>
      <c r="CA59" s="118"/>
      <c r="CB59" s="118"/>
      <c r="CC59" s="118"/>
      <c r="CD59" s="117"/>
      <c r="CE59" s="118"/>
      <c r="CF59" s="118"/>
      <c r="CG59" s="118"/>
      <c r="CH59" s="118"/>
      <c r="CI59" s="118"/>
      <c r="CJ59" s="118"/>
      <c r="CK59" s="118"/>
      <c r="CL59" s="118"/>
      <c r="CM59" s="117"/>
      <c r="CN59" s="118"/>
      <c r="CO59" s="118"/>
      <c r="CP59" s="118"/>
      <c r="CQ59" s="118"/>
      <c r="CR59" s="118"/>
      <c r="CS59" s="118"/>
      <c r="CT59" s="118"/>
      <c r="CU59" s="161"/>
      <c r="CV59" s="37"/>
    </row>
    <row r="60" spans="1:100" ht="12" customHeight="1" x14ac:dyDescent="0.25">
      <c r="A60" s="113" t="s">
        <v>358</v>
      </c>
      <c r="B60" s="113"/>
      <c r="C60" s="113"/>
      <c r="D60" s="113"/>
      <c r="E60" s="113"/>
      <c r="F60" s="113"/>
      <c r="G60" s="113"/>
      <c r="H60" s="113"/>
      <c r="I60" s="114"/>
      <c r="J60" s="119" t="str">
        <f>IF(IFERROR(VLOOKUP(J58,Armors[],5,FALSE) &amp; ": " &amp; VLOOKUP(J58,Armors[],4,FALSE),"")=0,"",IFERROR(VLOOKUP(J58,Armors[],5,FALSE) &amp; ": " &amp; VLOOKUP(J58,Armors[],4,FALSE),""))</f>
        <v/>
      </c>
      <c r="K60" s="120"/>
      <c r="L60" s="120"/>
      <c r="M60" s="120"/>
      <c r="N60" s="120"/>
      <c r="O60" s="120"/>
      <c r="P60" s="120"/>
      <c r="Q60" s="120"/>
      <c r="R60" s="120"/>
      <c r="S60" s="119" t="str">
        <f>IF(IFERROR(VLOOKUP(S58,Armors[],5,FALSE) &amp; ": " &amp; VLOOKUP(S58,Armors[],4,FALSE),"")=0,"",IFERROR(VLOOKUP(S58,Armors[],5,FALSE) &amp; ": " &amp; VLOOKUP(S58,Armors[],4,FALSE),""))</f>
        <v>Medium Armor: AC: 13+Dex Modifier (Max 2).</v>
      </c>
      <c r="T60" s="120"/>
      <c r="U60" s="120"/>
      <c r="V60" s="120"/>
      <c r="W60" s="120"/>
      <c r="X60" s="120"/>
      <c r="Y60" s="120"/>
      <c r="Z60" s="120"/>
      <c r="AA60" s="120"/>
      <c r="AB60" s="119" t="str">
        <f>IF(IFERROR(VLOOKUP(AB58,Armors[],5,FALSE) &amp; ": " &amp; VLOOKUP(AB58,Armors[],4,FALSE),"")=0,"",IFERROR(VLOOKUP(AB58,Armors[],5,FALSE) &amp; ": " &amp; VLOOKUP(AB58,Armors[],4,FALSE),""))</f>
        <v>Heavy Armor: AC: 17 Str 15. Stealth: Disadvantage</v>
      </c>
      <c r="AC60" s="120"/>
      <c r="AD60" s="120"/>
      <c r="AE60" s="120"/>
      <c r="AF60" s="120"/>
      <c r="AG60" s="120"/>
      <c r="AH60" s="120"/>
      <c r="AI60" s="120"/>
      <c r="AJ60" s="120"/>
      <c r="AK60" s="119" t="str">
        <f>IF(IFERROR(VLOOKUP(AK58,Armors[],5,FALSE) &amp; ": " &amp; VLOOKUP(AK58,Armors[],4,FALSE),"")=0,"",IFERROR(VLOOKUP(AK58,Armors[],5,FALSE) &amp; ": " &amp; VLOOKUP(AK58,Armors[],4,FALSE),""))</f>
        <v>Light Armor: AC: 12+Dex Modifier.</v>
      </c>
      <c r="AL60" s="120"/>
      <c r="AM60" s="120"/>
      <c r="AN60" s="120"/>
      <c r="AO60" s="120"/>
      <c r="AP60" s="120"/>
      <c r="AQ60" s="120"/>
      <c r="AR60" s="120"/>
      <c r="AS60" s="120"/>
      <c r="AT60" s="119" t="str">
        <f>IF(IFERROR(VLOOKUP(AT58,Armors[],5,FALSE) &amp; ": " &amp; VLOOKUP(AT58,Armors[],4,FALSE),"")=0,"",IFERROR(VLOOKUP(AT58,Armors[],5,FALSE) &amp; ": " &amp; VLOOKUP(AT58,Armors[],4,FALSE),""))</f>
        <v>Natural: AC: 12+Con Modifier.</v>
      </c>
      <c r="AU60" s="120"/>
      <c r="AV60" s="120"/>
      <c r="AW60" s="120"/>
      <c r="AX60" s="120"/>
      <c r="AY60" s="120"/>
      <c r="AZ60" s="120"/>
      <c r="BA60" s="120"/>
      <c r="BB60" s="120"/>
      <c r="BC60" s="119" t="str">
        <f>IF(IFERROR(VLOOKUP(BC58,Armors[],5,FALSE) &amp; ": " &amp; VLOOKUP(BC58,Armors[],4,FALSE),"")=0,"",IFERROR(VLOOKUP(BC58,Armors[],5,FALSE) &amp; ": " &amp; VLOOKUP(BC58,Armors[],4,FALSE),""))</f>
        <v/>
      </c>
      <c r="BD60" s="120"/>
      <c r="BE60" s="120"/>
      <c r="BF60" s="120"/>
      <c r="BG60" s="120"/>
      <c r="BH60" s="120"/>
      <c r="BI60" s="120"/>
      <c r="BJ60" s="120"/>
      <c r="BK60" s="120"/>
      <c r="BL60" s="119" t="str">
        <f>IF(IFERROR(VLOOKUP(BL58,Armors[],5,FALSE) &amp; ": " &amp; VLOOKUP(BL58,Armors[],4,FALSE),"")=0,"",IFERROR(VLOOKUP(BL58,Armors[],5,FALSE) &amp; ": " &amp; VLOOKUP(BL58,Armors[],4,FALSE),""))</f>
        <v>Light Armor: AC: 11+Dex Modifier.</v>
      </c>
      <c r="BM60" s="120"/>
      <c r="BN60" s="120"/>
      <c r="BO60" s="120"/>
      <c r="BP60" s="120"/>
      <c r="BQ60" s="120"/>
      <c r="BR60" s="120"/>
      <c r="BS60" s="120"/>
      <c r="BT60" s="120"/>
      <c r="BU60" s="119" t="str">
        <f>IF(IFERROR(VLOOKUP(BU58,Armors[],5,FALSE) &amp; ": " &amp; VLOOKUP(BU58,Armors[],4,FALSE),"")=0,"",IFERROR(VLOOKUP(BU58,Armors[],5,FALSE) &amp; ": " &amp; VLOOKUP(BU58,Armors[],4,FALSE),""))</f>
        <v>Medium Armor: AC: 14+Dex Modifier (Max 2). Stealth: Disadvantage</v>
      </c>
      <c r="BV60" s="120"/>
      <c r="BW60" s="120"/>
      <c r="BX60" s="120"/>
      <c r="BY60" s="120"/>
      <c r="BZ60" s="120"/>
      <c r="CA60" s="120"/>
      <c r="CB60" s="120"/>
      <c r="CC60" s="120"/>
      <c r="CD60" s="119" t="str">
        <f>IF(IFERROR(VLOOKUP(CD58,Armors[],5,FALSE) &amp; ": " &amp; VLOOKUP(CD58,Armors[],4,FALSE),"")=0,"",IFERROR(VLOOKUP(CD58,Armors[],5,FALSE) &amp; ": " &amp; VLOOKUP(CD58,Armors[],4,FALSE),""))</f>
        <v/>
      </c>
      <c r="CE60" s="120"/>
      <c r="CF60" s="120"/>
      <c r="CG60" s="120"/>
      <c r="CH60" s="120"/>
      <c r="CI60" s="120"/>
      <c r="CJ60" s="120"/>
      <c r="CK60" s="120"/>
      <c r="CL60" s="120"/>
      <c r="CM60" s="119" t="str">
        <f>IF(IFERROR(VLOOKUP(CM58,Armors[],5,FALSE) &amp; ": " &amp; VLOOKUP(CM58,Armors[],4,FALSE),"")=0,"",IFERROR(VLOOKUP(CM58,Armors[],5,FALSE) &amp; ": " &amp; VLOOKUP(CM58,Armors[],4,FALSE),""))</f>
        <v>Light Armor: AC: 12+Dex Modifier.</v>
      </c>
      <c r="CN60" s="120"/>
      <c r="CO60" s="120"/>
      <c r="CP60" s="120"/>
      <c r="CQ60" s="120"/>
      <c r="CR60" s="120"/>
      <c r="CS60" s="120"/>
      <c r="CT60" s="120"/>
      <c r="CU60" s="162"/>
      <c r="CV60" s="37"/>
    </row>
    <row r="61" spans="1:100" ht="12" customHeight="1" x14ac:dyDescent="0.25">
      <c r="A61" s="113"/>
      <c r="B61" s="113"/>
      <c r="C61" s="113"/>
      <c r="D61" s="113"/>
      <c r="E61" s="113"/>
      <c r="F61" s="113"/>
      <c r="G61" s="113"/>
      <c r="H61" s="113"/>
      <c r="I61" s="114"/>
      <c r="J61" s="121"/>
      <c r="K61" s="122"/>
      <c r="L61" s="122"/>
      <c r="M61" s="122"/>
      <c r="N61" s="122"/>
      <c r="O61" s="122"/>
      <c r="P61" s="122"/>
      <c r="Q61" s="122"/>
      <c r="R61" s="122"/>
      <c r="S61" s="121"/>
      <c r="T61" s="122"/>
      <c r="U61" s="122"/>
      <c r="V61" s="122"/>
      <c r="W61" s="122"/>
      <c r="X61" s="122"/>
      <c r="Y61" s="122"/>
      <c r="Z61" s="122"/>
      <c r="AA61" s="122"/>
      <c r="AB61" s="121"/>
      <c r="AC61" s="122"/>
      <c r="AD61" s="122"/>
      <c r="AE61" s="122"/>
      <c r="AF61" s="122"/>
      <c r="AG61" s="122"/>
      <c r="AH61" s="122"/>
      <c r="AI61" s="122"/>
      <c r="AJ61" s="122"/>
      <c r="AK61" s="121"/>
      <c r="AL61" s="122"/>
      <c r="AM61" s="122"/>
      <c r="AN61" s="122"/>
      <c r="AO61" s="122"/>
      <c r="AP61" s="122"/>
      <c r="AQ61" s="122"/>
      <c r="AR61" s="122"/>
      <c r="AS61" s="122"/>
      <c r="AT61" s="121"/>
      <c r="AU61" s="122"/>
      <c r="AV61" s="122"/>
      <c r="AW61" s="122"/>
      <c r="AX61" s="122"/>
      <c r="AY61" s="122"/>
      <c r="AZ61" s="122"/>
      <c r="BA61" s="122"/>
      <c r="BB61" s="122"/>
      <c r="BC61" s="121"/>
      <c r="BD61" s="122"/>
      <c r="BE61" s="122"/>
      <c r="BF61" s="122"/>
      <c r="BG61" s="122"/>
      <c r="BH61" s="122"/>
      <c r="BI61" s="122"/>
      <c r="BJ61" s="122"/>
      <c r="BK61" s="122"/>
      <c r="BL61" s="121"/>
      <c r="BM61" s="122"/>
      <c r="BN61" s="122"/>
      <c r="BO61" s="122"/>
      <c r="BP61" s="122"/>
      <c r="BQ61" s="122"/>
      <c r="BR61" s="122"/>
      <c r="BS61" s="122"/>
      <c r="BT61" s="122"/>
      <c r="BU61" s="121"/>
      <c r="BV61" s="122"/>
      <c r="BW61" s="122"/>
      <c r="BX61" s="122"/>
      <c r="BY61" s="122"/>
      <c r="BZ61" s="122"/>
      <c r="CA61" s="122"/>
      <c r="CB61" s="122"/>
      <c r="CC61" s="122"/>
      <c r="CD61" s="121"/>
      <c r="CE61" s="122"/>
      <c r="CF61" s="122"/>
      <c r="CG61" s="122"/>
      <c r="CH61" s="122"/>
      <c r="CI61" s="122"/>
      <c r="CJ61" s="122"/>
      <c r="CK61" s="122"/>
      <c r="CL61" s="122"/>
      <c r="CM61" s="121"/>
      <c r="CN61" s="122"/>
      <c r="CO61" s="122"/>
      <c r="CP61" s="122"/>
      <c r="CQ61" s="122"/>
      <c r="CR61" s="122"/>
      <c r="CS61" s="122"/>
      <c r="CT61" s="122"/>
      <c r="CU61" s="163"/>
      <c r="CV61" s="37"/>
    </row>
    <row r="62" spans="1:100" ht="12" customHeight="1" x14ac:dyDescent="0.25">
      <c r="A62" s="113"/>
      <c r="B62" s="113"/>
      <c r="C62" s="113"/>
      <c r="D62" s="113"/>
      <c r="E62" s="113"/>
      <c r="F62" s="113"/>
      <c r="G62" s="113"/>
      <c r="H62" s="113"/>
      <c r="I62" s="114"/>
      <c r="J62" s="123"/>
      <c r="K62" s="124"/>
      <c r="L62" s="124"/>
      <c r="M62" s="124"/>
      <c r="N62" s="124"/>
      <c r="O62" s="124"/>
      <c r="P62" s="124"/>
      <c r="Q62" s="124"/>
      <c r="R62" s="124"/>
      <c r="S62" s="123"/>
      <c r="T62" s="124"/>
      <c r="U62" s="124"/>
      <c r="V62" s="124"/>
      <c r="W62" s="124"/>
      <c r="X62" s="124"/>
      <c r="Y62" s="124"/>
      <c r="Z62" s="124"/>
      <c r="AA62" s="124"/>
      <c r="AB62" s="123"/>
      <c r="AC62" s="124"/>
      <c r="AD62" s="124"/>
      <c r="AE62" s="124"/>
      <c r="AF62" s="124"/>
      <c r="AG62" s="124"/>
      <c r="AH62" s="124"/>
      <c r="AI62" s="124"/>
      <c r="AJ62" s="124"/>
      <c r="AK62" s="123"/>
      <c r="AL62" s="124"/>
      <c r="AM62" s="124"/>
      <c r="AN62" s="124"/>
      <c r="AO62" s="124"/>
      <c r="AP62" s="124"/>
      <c r="AQ62" s="124"/>
      <c r="AR62" s="124"/>
      <c r="AS62" s="124"/>
      <c r="AT62" s="123"/>
      <c r="AU62" s="124"/>
      <c r="AV62" s="124"/>
      <c r="AW62" s="124"/>
      <c r="AX62" s="124"/>
      <c r="AY62" s="124"/>
      <c r="AZ62" s="124"/>
      <c r="BA62" s="124"/>
      <c r="BB62" s="124"/>
      <c r="BC62" s="123"/>
      <c r="BD62" s="124"/>
      <c r="BE62" s="124"/>
      <c r="BF62" s="124"/>
      <c r="BG62" s="124"/>
      <c r="BH62" s="124"/>
      <c r="BI62" s="124"/>
      <c r="BJ62" s="124"/>
      <c r="BK62" s="124"/>
      <c r="BL62" s="123"/>
      <c r="BM62" s="124"/>
      <c r="BN62" s="124"/>
      <c r="BO62" s="124"/>
      <c r="BP62" s="124"/>
      <c r="BQ62" s="124"/>
      <c r="BR62" s="124"/>
      <c r="BS62" s="124"/>
      <c r="BT62" s="124"/>
      <c r="BU62" s="123"/>
      <c r="BV62" s="124"/>
      <c r="BW62" s="124"/>
      <c r="BX62" s="124"/>
      <c r="BY62" s="124"/>
      <c r="BZ62" s="124"/>
      <c r="CA62" s="124"/>
      <c r="CB62" s="124"/>
      <c r="CC62" s="124"/>
      <c r="CD62" s="123"/>
      <c r="CE62" s="124"/>
      <c r="CF62" s="124"/>
      <c r="CG62" s="124"/>
      <c r="CH62" s="124"/>
      <c r="CI62" s="124"/>
      <c r="CJ62" s="124"/>
      <c r="CK62" s="124"/>
      <c r="CL62" s="124"/>
      <c r="CM62" s="123"/>
      <c r="CN62" s="124"/>
      <c r="CO62" s="124"/>
      <c r="CP62" s="124"/>
      <c r="CQ62" s="124"/>
      <c r="CR62" s="124"/>
      <c r="CS62" s="124"/>
      <c r="CT62" s="124"/>
      <c r="CU62" s="164"/>
      <c r="CV62" s="37"/>
    </row>
    <row r="63" spans="1:100" ht="12" customHeight="1" x14ac:dyDescent="0.25">
      <c r="A63" s="113" t="s">
        <v>359</v>
      </c>
      <c r="B63" s="113"/>
      <c r="C63" s="113"/>
      <c r="D63" s="113"/>
      <c r="E63" s="113"/>
      <c r="F63" s="113"/>
      <c r="G63" s="113"/>
      <c r="H63" s="113"/>
      <c r="I63" s="114"/>
      <c r="J63" s="102"/>
      <c r="K63" s="103"/>
      <c r="L63" s="103"/>
      <c r="M63" s="103"/>
      <c r="N63" s="103"/>
      <c r="O63" s="103"/>
      <c r="P63" s="103"/>
      <c r="Q63" s="103"/>
      <c r="R63" s="104"/>
      <c r="S63" s="102"/>
      <c r="T63" s="103"/>
      <c r="U63" s="103"/>
      <c r="V63" s="103"/>
      <c r="W63" s="103"/>
      <c r="X63" s="103"/>
      <c r="Y63" s="103"/>
      <c r="Z63" s="103"/>
      <c r="AA63" s="104"/>
      <c r="AB63" s="102"/>
      <c r="AC63" s="103"/>
      <c r="AD63" s="103"/>
      <c r="AE63" s="103"/>
      <c r="AF63" s="103"/>
      <c r="AG63" s="103"/>
      <c r="AH63" s="103"/>
      <c r="AI63" s="103"/>
      <c r="AJ63" s="104"/>
      <c r="AK63" s="102"/>
      <c r="AL63" s="103"/>
      <c r="AM63" s="103"/>
      <c r="AN63" s="103"/>
      <c r="AO63" s="103"/>
      <c r="AP63" s="103"/>
      <c r="AQ63" s="103"/>
      <c r="AR63" s="103"/>
      <c r="AS63" s="104"/>
      <c r="AT63" s="102"/>
      <c r="AU63" s="103"/>
      <c r="AV63" s="103"/>
      <c r="AW63" s="103"/>
      <c r="AX63" s="103"/>
      <c r="AY63" s="103"/>
      <c r="AZ63" s="103"/>
      <c r="BA63" s="103"/>
      <c r="BB63" s="104"/>
      <c r="BC63" s="102"/>
      <c r="BD63" s="103"/>
      <c r="BE63" s="103"/>
      <c r="BF63" s="103"/>
      <c r="BG63" s="103"/>
      <c r="BH63" s="103"/>
      <c r="BI63" s="103"/>
      <c r="BJ63" s="103"/>
      <c r="BK63" s="104"/>
      <c r="BL63" s="102">
        <v>2</v>
      </c>
      <c r="BM63" s="103"/>
      <c r="BN63" s="103"/>
      <c r="BO63" s="103"/>
      <c r="BP63" s="103"/>
      <c r="BQ63" s="103"/>
      <c r="BR63" s="103"/>
      <c r="BS63" s="103"/>
      <c r="BT63" s="104"/>
      <c r="BU63" s="102"/>
      <c r="BV63" s="103"/>
      <c r="BW63" s="103"/>
      <c r="BX63" s="103"/>
      <c r="BY63" s="103"/>
      <c r="BZ63" s="103"/>
      <c r="CA63" s="103"/>
      <c r="CB63" s="103"/>
      <c r="CC63" s="104"/>
      <c r="CD63" s="102"/>
      <c r="CE63" s="103"/>
      <c r="CF63" s="103"/>
      <c r="CG63" s="103"/>
      <c r="CH63" s="103"/>
      <c r="CI63" s="103"/>
      <c r="CJ63" s="103"/>
      <c r="CK63" s="103"/>
      <c r="CL63" s="104"/>
      <c r="CM63" s="102"/>
      <c r="CN63" s="103"/>
      <c r="CO63" s="103"/>
      <c r="CP63" s="103"/>
      <c r="CQ63" s="103"/>
      <c r="CR63" s="103"/>
      <c r="CS63" s="103"/>
      <c r="CT63" s="103"/>
      <c r="CU63" s="104"/>
      <c r="CV63" s="37"/>
    </row>
    <row r="64" spans="1:100" ht="12" customHeight="1" thickBot="1" x14ac:dyDescent="0.3">
      <c r="A64" s="111" t="s">
        <v>360</v>
      </c>
      <c r="B64" s="111"/>
      <c r="C64" s="111"/>
      <c r="D64" s="111"/>
      <c r="E64" s="111"/>
      <c r="F64" s="111"/>
      <c r="G64" s="111"/>
      <c r="H64" s="111"/>
      <c r="I64" s="112"/>
      <c r="J64" s="105">
        <f ca="1">getac(J51,J52,J60,J63,J57,J18)</f>
        <v>10</v>
      </c>
      <c r="K64" s="106"/>
      <c r="L64" s="106"/>
      <c r="M64" s="106"/>
      <c r="N64" s="106"/>
      <c r="O64" s="106"/>
      <c r="P64" s="106"/>
      <c r="Q64" s="106"/>
      <c r="R64" s="106"/>
      <c r="S64" s="105">
        <f ca="1">getac(S51,S52,S60,S63,S57,S18)</f>
        <v>17</v>
      </c>
      <c r="T64" s="106"/>
      <c r="U64" s="106"/>
      <c r="V64" s="106"/>
      <c r="W64" s="106"/>
      <c r="X64" s="106"/>
      <c r="Y64" s="106"/>
      <c r="Z64" s="106"/>
      <c r="AA64" s="106"/>
      <c r="AB64" s="105">
        <f t="shared" ref="AB64" ca="1" si="15">getac(AB51,AB52,AB60,AB63,AB57,AB18)</f>
        <v>17</v>
      </c>
      <c r="AC64" s="106"/>
      <c r="AD64" s="106"/>
      <c r="AE64" s="106"/>
      <c r="AF64" s="106"/>
      <c r="AG64" s="106"/>
      <c r="AH64" s="106"/>
      <c r="AI64" s="106"/>
      <c r="AJ64" s="106"/>
      <c r="AK64" s="105">
        <f t="shared" ref="AK64" ca="1" si="16">getac(AK51,AK52,AK60,AK63,AK57,AK18)</f>
        <v>15</v>
      </c>
      <c r="AL64" s="106"/>
      <c r="AM64" s="106"/>
      <c r="AN64" s="106"/>
      <c r="AO64" s="106"/>
      <c r="AP64" s="106"/>
      <c r="AQ64" s="106"/>
      <c r="AR64" s="106"/>
      <c r="AS64" s="106"/>
      <c r="AT64" s="105">
        <f t="shared" ref="AT64" ca="1" si="17">getac(AT51,AT52,AT60,AT63,AT57,AT18)</f>
        <v>15</v>
      </c>
      <c r="AU64" s="106"/>
      <c r="AV64" s="106"/>
      <c r="AW64" s="106"/>
      <c r="AX64" s="106"/>
      <c r="AY64" s="106"/>
      <c r="AZ64" s="106"/>
      <c r="BA64" s="106"/>
      <c r="BB64" s="106"/>
      <c r="BC64" s="105">
        <f t="shared" ref="BC64" ca="1" si="18">getac(BC51,BC52,BC60,BC63,BC57,BC18)</f>
        <v>10</v>
      </c>
      <c r="BD64" s="106"/>
      <c r="BE64" s="106"/>
      <c r="BF64" s="106"/>
      <c r="BG64" s="106"/>
      <c r="BH64" s="106"/>
      <c r="BI64" s="106"/>
      <c r="BJ64" s="106"/>
      <c r="BK64" s="106"/>
      <c r="BL64" s="105">
        <f t="shared" ref="BL64" ca="1" si="19">getac(BL51,BL52,BL60,BL63,BL57,BL18)</f>
        <v>18</v>
      </c>
      <c r="BM64" s="106"/>
      <c r="BN64" s="106"/>
      <c r="BO64" s="106"/>
      <c r="BP64" s="106"/>
      <c r="BQ64" s="106"/>
      <c r="BR64" s="106"/>
      <c r="BS64" s="106"/>
      <c r="BT64" s="106"/>
      <c r="BU64" s="105">
        <f t="shared" ref="BU64" ca="1" si="20">getac(BU51,BU52,BU60,BU63,BU57,BU18)</f>
        <v>18</v>
      </c>
      <c r="BV64" s="106"/>
      <c r="BW64" s="106"/>
      <c r="BX64" s="106"/>
      <c r="BY64" s="106"/>
      <c r="BZ64" s="106"/>
      <c r="CA64" s="106"/>
      <c r="CB64" s="106"/>
      <c r="CC64" s="106"/>
      <c r="CD64" s="105">
        <f t="shared" ref="CD64" ca="1" si="21">getac(CD51,CD52,CD60,CD63,CD57,CD18)</f>
        <v>10</v>
      </c>
      <c r="CE64" s="106"/>
      <c r="CF64" s="106"/>
      <c r="CG64" s="106"/>
      <c r="CH64" s="106"/>
      <c r="CI64" s="106"/>
      <c r="CJ64" s="106"/>
      <c r="CK64" s="106"/>
      <c r="CL64" s="106"/>
      <c r="CM64" s="105">
        <f t="shared" ref="CM64" ca="1" si="22">getac(CM51,CM52,CM60,CM63,CM57,CM18)</f>
        <v>14</v>
      </c>
      <c r="CN64" s="106"/>
      <c r="CO64" s="106"/>
      <c r="CP64" s="106"/>
      <c r="CQ64" s="106"/>
      <c r="CR64" s="106"/>
      <c r="CS64" s="106"/>
      <c r="CT64" s="106"/>
      <c r="CU64" s="160"/>
      <c r="CV64" s="37"/>
    </row>
    <row r="65" spans="1:99" ht="12" customHeight="1" x14ac:dyDescent="0.25">
      <c r="A65" s="5"/>
      <c r="B65" s="5"/>
      <c r="C65" s="5"/>
      <c r="D65" s="5"/>
      <c r="E65" s="5"/>
      <c r="F65" s="5"/>
      <c r="G65" s="5"/>
      <c r="H65" s="5"/>
      <c r="I65" s="50"/>
      <c r="J65" s="77"/>
      <c r="K65" s="78"/>
      <c r="L65" s="78"/>
      <c r="M65" s="78"/>
      <c r="N65" s="78"/>
      <c r="O65" s="78"/>
      <c r="P65" s="78"/>
      <c r="Q65" s="78"/>
      <c r="R65" s="78"/>
      <c r="S65" s="78"/>
      <c r="T65" s="78"/>
      <c r="U65" s="78"/>
      <c r="V65" s="78"/>
      <c r="W65" s="78"/>
      <c r="X65" s="78"/>
      <c r="Y65" s="78"/>
      <c r="Z65" s="78"/>
      <c r="AA65" s="78"/>
      <c r="AB65" s="78"/>
      <c r="AC65" s="78"/>
      <c r="AD65" s="78"/>
      <c r="AE65" s="78"/>
      <c r="AF65" s="78"/>
      <c r="AG65" s="78"/>
      <c r="AH65" s="78"/>
      <c r="AI65" s="78"/>
      <c r="AJ65" s="78"/>
      <c r="AK65" s="78"/>
      <c r="AL65" s="78"/>
      <c r="AM65" s="78"/>
      <c r="AN65" s="78"/>
      <c r="AO65" s="78"/>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8"/>
      <c r="BO65" s="78"/>
      <c r="BP65" s="78"/>
      <c r="BQ65" s="78"/>
      <c r="BR65" s="78"/>
      <c r="BS65" s="78"/>
      <c r="BT65" s="78"/>
      <c r="BU65" s="78"/>
      <c r="BV65" s="78"/>
      <c r="BW65" s="78"/>
      <c r="BX65" s="78"/>
      <c r="BY65" s="78"/>
      <c r="BZ65" s="78"/>
      <c r="CA65" s="78"/>
      <c r="CB65" s="78"/>
      <c r="CC65" s="78"/>
      <c r="CD65" s="78"/>
      <c r="CE65" s="78"/>
      <c r="CF65" s="78"/>
      <c r="CG65" s="78"/>
      <c r="CH65" s="78"/>
      <c r="CI65" s="78"/>
      <c r="CJ65" s="78"/>
      <c r="CK65" s="78"/>
      <c r="CL65" s="78"/>
      <c r="CM65" s="78"/>
      <c r="CN65" s="78"/>
      <c r="CO65" s="78"/>
      <c r="CP65" s="78"/>
      <c r="CQ65" s="78"/>
      <c r="CR65" s="78"/>
      <c r="CS65" s="78"/>
      <c r="CT65" s="78"/>
      <c r="CU65" s="78"/>
    </row>
    <row r="66" spans="1:99" ht="15.75" customHeight="1" thickBot="1" x14ac:dyDescent="0.3">
      <c r="A66" s="38"/>
      <c r="B66" s="38"/>
      <c r="C66" s="38"/>
      <c r="D66" s="38"/>
      <c r="E66" s="38"/>
      <c r="F66" s="38"/>
      <c r="G66" s="38"/>
      <c r="H66" s="38"/>
      <c r="I66" s="39"/>
    </row>
    <row r="67" spans="1:99" ht="12" customHeight="1" thickBot="1" x14ac:dyDescent="0.3">
      <c r="A67" s="38"/>
      <c r="B67" s="38"/>
      <c r="C67" s="38"/>
      <c r="D67" s="38"/>
      <c r="E67" s="38"/>
      <c r="F67" s="38"/>
      <c r="G67" s="38"/>
      <c r="H67" s="38"/>
      <c r="I67" s="39"/>
    </row>
  </sheetData>
  <mergeCells count="339">
    <mergeCell ref="A1:R8"/>
    <mergeCell ref="S9:AA10"/>
    <mergeCell ref="J9:R10"/>
    <mergeCell ref="S1:AA2"/>
    <mergeCell ref="AB3:AJ4"/>
    <mergeCell ref="AB1:AJ2"/>
    <mergeCell ref="S3:AA4"/>
    <mergeCell ref="A9:I10"/>
    <mergeCell ref="S7:AA8"/>
    <mergeCell ref="S5:AA6"/>
    <mergeCell ref="AB5:AJ6"/>
    <mergeCell ref="AB7:AJ8"/>
    <mergeCell ref="AB9:AJ10"/>
    <mergeCell ref="CM64:CU64"/>
    <mergeCell ref="CM58:CU59"/>
    <mergeCell ref="CD60:CL62"/>
    <mergeCell ref="CM60:CU62"/>
    <mergeCell ref="CD63:CL63"/>
    <mergeCell ref="CM63:CU63"/>
    <mergeCell ref="CM50:CU50"/>
    <mergeCell ref="CD54:CL56"/>
    <mergeCell ref="CM54:CU56"/>
    <mergeCell ref="CD57:CL57"/>
    <mergeCell ref="CM57:CU57"/>
    <mergeCell ref="CM53:CU53"/>
    <mergeCell ref="CD53:CL53"/>
    <mergeCell ref="CD52:CL52"/>
    <mergeCell ref="CM52:CU52"/>
    <mergeCell ref="CM48:CU48"/>
    <mergeCell ref="CD49:CL49"/>
    <mergeCell ref="CM49:CU49"/>
    <mergeCell ref="CD51:CL51"/>
    <mergeCell ref="CM51:CU51"/>
    <mergeCell ref="CM36:CU44"/>
    <mergeCell ref="CD45:CL46"/>
    <mergeCell ref="CM45:CU46"/>
    <mergeCell ref="CD47:CL47"/>
    <mergeCell ref="CM47:CU47"/>
    <mergeCell ref="CM32:CU32"/>
    <mergeCell ref="CD33:CL33"/>
    <mergeCell ref="CM33:CU33"/>
    <mergeCell ref="CD34:CL35"/>
    <mergeCell ref="CM34:CU35"/>
    <mergeCell ref="CM21:CU22"/>
    <mergeCell ref="CD23:CL29"/>
    <mergeCell ref="CM23:CU29"/>
    <mergeCell ref="CD30:CL31"/>
    <mergeCell ref="CM30:CU31"/>
    <mergeCell ref="CM18:CU18"/>
    <mergeCell ref="CD19:CL19"/>
    <mergeCell ref="CM19:CU19"/>
    <mergeCell ref="CD20:CL20"/>
    <mergeCell ref="CM20:CU20"/>
    <mergeCell ref="CM15:CU15"/>
    <mergeCell ref="CD16:CL16"/>
    <mergeCell ref="CM16:CU16"/>
    <mergeCell ref="CD17:CL17"/>
    <mergeCell ref="CM17:CU17"/>
    <mergeCell ref="CM9:CU10"/>
    <mergeCell ref="CD11:CL12"/>
    <mergeCell ref="CM11:CU12"/>
    <mergeCell ref="CD13:CL14"/>
    <mergeCell ref="CM13:CU14"/>
    <mergeCell ref="AT64:BB64"/>
    <mergeCell ref="BC64:BK64"/>
    <mergeCell ref="BL64:BT64"/>
    <mergeCell ref="BU64:CC64"/>
    <mergeCell ref="CD9:CL10"/>
    <mergeCell ref="CD15:CL15"/>
    <mergeCell ref="CD18:CL18"/>
    <mergeCell ref="CD21:CL22"/>
    <mergeCell ref="CD32:CL32"/>
    <mergeCell ref="CD36:CL44"/>
    <mergeCell ref="CD48:CL48"/>
    <mergeCell ref="CD50:CL50"/>
    <mergeCell ref="CD58:CL59"/>
    <mergeCell ref="CD64:CL64"/>
    <mergeCell ref="AT60:BB62"/>
    <mergeCell ref="BC60:BK62"/>
    <mergeCell ref="BL60:BT62"/>
    <mergeCell ref="BU60:CC62"/>
    <mergeCell ref="AT63:BB63"/>
    <mergeCell ref="BC63:BK63"/>
    <mergeCell ref="BL63:BT63"/>
    <mergeCell ref="BU63:CC63"/>
    <mergeCell ref="AT57:BB57"/>
    <mergeCell ref="BC57:BK57"/>
    <mergeCell ref="BL57:BT57"/>
    <mergeCell ref="BU57:CC57"/>
    <mergeCell ref="AT58:BB59"/>
    <mergeCell ref="BC58:BK59"/>
    <mergeCell ref="BL58:BT59"/>
    <mergeCell ref="BU58:CC59"/>
    <mergeCell ref="BU50:CC50"/>
    <mergeCell ref="AT54:BB56"/>
    <mergeCell ref="BC54:BK56"/>
    <mergeCell ref="BL54:BT56"/>
    <mergeCell ref="BU54:CC56"/>
    <mergeCell ref="AT49:BB49"/>
    <mergeCell ref="BC49:BK49"/>
    <mergeCell ref="BL49:BT49"/>
    <mergeCell ref="BU49:CC49"/>
    <mergeCell ref="AT51:BB51"/>
    <mergeCell ref="BC51:BK51"/>
    <mergeCell ref="BL51:BT51"/>
    <mergeCell ref="BU51:CC51"/>
    <mergeCell ref="BU53:CC53"/>
    <mergeCell ref="BC53:BK53"/>
    <mergeCell ref="BL53:BT53"/>
    <mergeCell ref="BC52:BK52"/>
    <mergeCell ref="BL52:BT52"/>
    <mergeCell ref="BU52:CC52"/>
    <mergeCell ref="BC50:BK50"/>
    <mergeCell ref="BL50:BT50"/>
    <mergeCell ref="AT50:BB50"/>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AT47:BB47"/>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33:BB33"/>
    <mergeCell ref="BC33:BK33"/>
    <mergeCell ref="BL33:BT33"/>
    <mergeCell ref="BU15:CC15"/>
    <mergeCell ref="AT16:BB16"/>
    <mergeCell ref="BC16:BK16"/>
    <mergeCell ref="BL16:BT16"/>
    <mergeCell ref="BU16:CC16"/>
    <mergeCell ref="BC15:BK15"/>
    <mergeCell ref="BL15:BT15"/>
    <mergeCell ref="BU20:CC20"/>
    <mergeCell ref="BU33:CC33"/>
    <mergeCell ref="BU21:CC22"/>
    <mergeCell ref="AT23:BB29"/>
    <mergeCell ref="BC23:BK29"/>
    <mergeCell ref="BL23:BT29"/>
    <mergeCell ref="BU23:CC29"/>
    <mergeCell ref="AT19:BB19"/>
    <mergeCell ref="BC19:BK19"/>
    <mergeCell ref="BL19:BT19"/>
    <mergeCell ref="BU19:CC19"/>
    <mergeCell ref="AT20:BB20"/>
    <mergeCell ref="BU17:CC17"/>
    <mergeCell ref="BU18:CC18"/>
    <mergeCell ref="AK32:AS32"/>
    <mergeCell ref="AK23:AS29"/>
    <mergeCell ref="AT17:BB17"/>
    <mergeCell ref="BC17:BK17"/>
    <mergeCell ref="BL17:BT17"/>
    <mergeCell ref="AT21:BB22"/>
    <mergeCell ref="BC21:BK22"/>
    <mergeCell ref="BL21:BT22"/>
    <mergeCell ref="BC20:BK20"/>
    <mergeCell ref="BL20:BT20"/>
    <mergeCell ref="AT18:BB18"/>
    <mergeCell ref="BC18:BK18"/>
    <mergeCell ref="BL18:BT18"/>
    <mergeCell ref="BC9:BK10"/>
    <mergeCell ref="BL9:BT10"/>
    <mergeCell ref="BU9:CC10"/>
    <mergeCell ref="AT11:BB12"/>
    <mergeCell ref="BC11:BK12"/>
    <mergeCell ref="BL11:BT12"/>
    <mergeCell ref="BU11:CC12"/>
    <mergeCell ref="AT13:BB14"/>
    <mergeCell ref="BC13:BK14"/>
    <mergeCell ref="BL13:BT14"/>
    <mergeCell ref="BU13:CC14"/>
    <mergeCell ref="AB63:AJ63"/>
    <mergeCell ref="AK63:AS63"/>
    <mergeCell ref="AK50:AS50"/>
    <mergeCell ref="AB54:AJ56"/>
    <mergeCell ref="AK54:AS56"/>
    <mergeCell ref="AB57:AJ57"/>
    <mergeCell ref="AK57:AS57"/>
    <mergeCell ref="AK64:AS64"/>
    <mergeCell ref="AT9:BB10"/>
    <mergeCell ref="AT15:BB15"/>
    <mergeCell ref="AK33:AS33"/>
    <mergeCell ref="AB34:AJ35"/>
    <mergeCell ref="AK34:AS35"/>
    <mergeCell ref="AK21:AS22"/>
    <mergeCell ref="AB23:AJ29"/>
    <mergeCell ref="AK30:AS31"/>
    <mergeCell ref="AK9:AS10"/>
    <mergeCell ref="AB11:AJ12"/>
    <mergeCell ref="AK11:AS12"/>
    <mergeCell ref="AB53:AJ53"/>
    <mergeCell ref="AK53:AS53"/>
    <mergeCell ref="AT53:BB53"/>
    <mergeCell ref="AB49:AJ49"/>
    <mergeCell ref="AK49:AS49"/>
    <mergeCell ref="S54:AA56"/>
    <mergeCell ref="S57:AA57"/>
    <mergeCell ref="S58:AA59"/>
    <mergeCell ref="S36:AA44"/>
    <mergeCell ref="AB19:AJ19"/>
    <mergeCell ref="AB20:AJ20"/>
    <mergeCell ref="AB16:AJ16"/>
    <mergeCell ref="AB17:AJ17"/>
    <mergeCell ref="AB33:AJ33"/>
    <mergeCell ref="AB45:AJ46"/>
    <mergeCell ref="S19:AA19"/>
    <mergeCell ref="S20:AA20"/>
    <mergeCell ref="S50:AA50"/>
    <mergeCell ref="AB15:AJ15"/>
    <mergeCell ref="AB18:AJ18"/>
    <mergeCell ref="AB21:AJ22"/>
    <mergeCell ref="AB32:AJ32"/>
    <mergeCell ref="AB36:AJ44"/>
    <mergeCell ref="AB48:AJ48"/>
    <mergeCell ref="AB50:AJ50"/>
    <mergeCell ref="AB58:AJ59"/>
    <mergeCell ref="AB30:AJ31"/>
    <mergeCell ref="S60:AA62"/>
    <mergeCell ref="AK36:AS44"/>
    <mergeCell ref="AK45:AS46"/>
    <mergeCell ref="AB47:AJ47"/>
    <mergeCell ref="AK47:AS47"/>
    <mergeCell ref="AB60:AJ62"/>
    <mergeCell ref="AK60:AS62"/>
    <mergeCell ref="AB13:AJ14"/>
    <mergeCell ref="AK13:AS14"/>
    <mergeCell ref="AK18:AS18"/>
    <mergeCell ref="AK19:AS19"/>
    <mergeCell ref="AK20:AS20"/>
    <mergeCell ref="AK15:AS15"/>
    <mergeCell ref="AK16:AS16"/>
    <mergeCell ref="AK17:AS17"/>
    <mergeCell ref="S45:AA46"/>
    <mergeCell ref="S23:AA29"/>
    <mergeCell ref="S30:AA31"/>
    <mergeCell ref="S32:AA32"/>
    <mergeCell ref="S33:AA33"/>
    <mergeCell ref="S34:AA35"/>
    <mergeCell ref="S53:AA53"/>
    <mergeCell ref="AK58:AS59"/>
    <mergeCell ref="S21:AA22"/>
    <mergeCell ref="A36:I44"/>
    <mergeCell ref="A45:I46"/>
    <mergeCell ref="A34:I35"/>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J45:R46"/>
    <mergeCell ref="A23:I29"/>
    <mergeCell ref="J20:R20"/>
    <mergeCell ref="S11:AA12"/>
    <mergeCell ref="S13:AA14"/>
    <mergeCell ref="A16:I16"/>
    <mergeCell ref="A17:I17"/>
    <mergeCell ref="A18:I18"/>
    <mergeCell ref="J15:R15"/>
    <mergeCell ref="J16:R16"/>
    <mergeCell ref="J17:R17"/>
    <mergeCell ref="J18:R18"/>
    <mergeCell ref="A11:I12"/>
    <mergeCell ref="A13:I14"/>
    <mergeCell ref="A15:I15"/>
    <mergeCell ref="J11:R12"/>
    <mergeCell ref="J13:R14"/>
    <mergeCell ref="S15:AA15"/>
    <mergeCell ref="S16:AA16"/>
    <mergeCell ref="S17:AA17"/>
    <mergeCell ref="S18:AA18"/>
    <mergeCell ref="A63:I63"/>
    <mergeCell ref="J63:R63"/>
    <mergeCell ref="A64:I64"/>
    <mergeCell ref="J64:R64"/>
    <mergeCell ref="J50:R50"/>
    <mergeCell ref="A57:I57"/>
    <mergeCell ref="J57:R57"/>
    <mergeCell ref="A50:I50"/>
    <mergeCell ref="A54:I56"/>
    <mergeCell ref="A51:I51"/>
    <mergeCell ref="J51:R51"/>
    <mergeCell ref="A58:I59"/>
    <mergeCell ref="J58:R59"/>
    <mergeCell ref="A60:I62"/>
    <mergeCell ref="J60:R62"/>
    <mergeCell ref="J54:R56"/>
    <mergeCell ref="A53:I53"/>
    <mergeCell ref="J53:R53"/>
    <mergeCell ref="S63:AA63"/>
    <mergeCell ref="S64:AA64"/>
    <mergeCell ref="AB64:AJ64"/>
    <mergeCell ref="S51:AA51"/>
    <mergeCell ref="BC47:BK47"/>
    <mergeCell ref="BL47:BT47"/>
    <mergeCell ref="A47:I47"/>
    <mergeCell ref="A48:I48"/>
    <mergeCell ref="A49:I49"/>
    <mergeCell ref="J47:R47"/>
    <mergeCell ref="J48:R48"/>
    <mergeCell ref="J49:R49"/>
    <mergeCell ref="S47:AA47"/>
    <mergeCell ref="S48:AA48"/>
    <mergeCell ref="S49:AA49"/>
    <mergeCell ref="AK48:AS48"/>
    <mergeCell ref="A52:I52"/>
    <mergeCell ref="J52:R52"/>
    <mergeCell ref="S52:AA52"/>
    <mergeCell ref="AB52:AJ52"/>
    <mergeCell ref="AK52:AS52"/>
    <mergeCell ref="AT52:BB52"/>
    <mergeCell ref="AB51:AJ51"/>
    <mergeCell ref="AK51:AS51"/>
  </mergeCells>
  <conditionalFormatting sqref="J20:R20">
    <cfRule type="colorScale" priority="129">
      <colorScale>
        <cfvo type="num" val="0"/>
        <cfvo type="num" val="$J$19/2"/>
        <cfvo type="num" val="$J$19*2"/>
        <color rgb="FFF8696B"/>
        <color rgb="FFFFEB84"/>
        <color rgb="FF47CFFF"/>
      </colorScale>
    </cfRule>
  </conditionalFormatting>
  <conditionalFormatting sqref="S20:AA20">
    <cfRule type="colorScale" priority="128">
      <colorScale>
        <cfvo type="num" val="0"/>
        <cfvo type="num" val="$S$19/2"/>
        <cfvo type="num" val="$S$19*2"/>
        <color rgb="FFF8696B"/>
        <color rgb="FFFFEB84"/>
        <color rgb="FF47CFFF"/>
      </colorScale>
    </cfRule>
  </conditionalFormatting>
  <conditionalFormatting sqref="AB20">
    <cfRule type="colorScale" priority="127">
      <colorScale>
        <cfvo type="num" val="0"/>
        <cfvo type="num" val="$AB$19/2"/>
        <cfvo type="num" val="$AB$19*2"/>
        <color rgb="FFF8696B"/>
        <color rgb="FFFFEB84"/>
        <color rgb="FF47CFFF"/>
      </colorScale>
    </cfRule>
  </conditionalFormatting>
  <conditionalFormatting sqref="AK20">
    <cfRule type="colorScale" priority="126">
      <colorScale>
        <cfvo type="num" val="0"/>
        <cfvo type="num" val="$AK$19/2"/>
        <cfvo type="num" val="$AK$19*2"/>
        <color rgb="FFF8696B"/>
        <color rgb="FFFFEB84"/>
        <color rgb="FF47CFFF"/>
      </colorScale>
    </cfRule>
  </conditionalFormatting>
  <conditionalFormatting sqref="AT20">
    <cfRule type="colorScale" priority="125">
      <colorScale>
        <cfvo type="num" val="0"/>
        <cfvo type="num" val="$AT$19/2"/>
        <cfvo type="num" val="$AT$19*2"/>
        <color rgb="FFF8696B"/>
        <color rgb="FFFFEB84"/>
        <color rgb="FF47CFFF"/>
      </colorScale>
    </cfRule>
  </conditionalFormatting>
  <conditionalFormatting sqref="BC20">
    <cfRule type="colorScale" priority="124">
      <colorScale>
        <cfvo type="num" val="0"/>
        <cfvo type="num" val="$BC$19/2"/>
        <cfvo type="num" val="$BC$19*2"/>
        <color rgb="FFF8696B"/>
        <color rgb="FFFFEB84"/>
        <color rgb="FF47CFFF"/>
      </colorScale>
    </cfRule>
  </conditionalFormatting>
  <conditionalFormatting sqref="BL20">
    <cfRule type="colorScale" priority="123">
      <colorScale>
        <cfvo type="num" val="0"/>
        <cfvo type="num" val="$BL$19/2"/>
        <cfvo type="num" val="$BL$19*2"/>
        <color rgb="FFF8696B"/>
        <color rgb="FFFFEB84"/>
        <color rgb="FF47CFFF"/>
      </colorScale>
    </cfRule>
  </conditionalFormatting>
  <conditionalFormatting sqref="BU20">
    <cfRule type="colorScale" priority="122">
      <colorScale>
        <cfvo type="num" val="0"/>
        <cfvo type="num" val="$BU$19/2"/>
        <cfvo type="num" val="$BU$19*2"/>
        <color rgb="FFF8696B"/>
        <color rgb="FFFFEB84"/>
        <color rgb="FF47CFFF"/>
      </colorScale>
    </cfRule>
  </conditionalFormatting>
  <conditionalFormatting sqref="CD20">
    <cfRule type="colorScale" priority="121">
      <colorScale>
        <cfvo type="num" val="0"/>
        <cfvo type="num" val="$CD$19/2"/>
        <cfvo type="num" val="$CD$19*2"/>
        <color rgb="FFF8696B"/>
        <color rgb="FFFFEB84"/>
        <color rgb="FF47CFFF"/>
      </colorScale>
    </cfRule>
  </conditionalFormatting>
  <conditionalFormatting sqref="J15:CU15">
    <cfRule type="colorScale" priority="75">
      <colorScale>
        <cfvo type="num" val="1"/>
        <cfvo type="num" val="10"/>
        <cfvo type="num" val="20"/>
        <color theme="9" tint="-0.249977111117893"/>
        <color theme="9" tint="0.79998168889431442"/>
        <color rgb="FFFFEF9C"/>
      </colorScale>
    </cfRule>
  </conditionalFormatting>
  <conditionalFormatting sqref="CM20:CU20">
    <cfRule type="colorScale" priority="74">
      <colorScale>
        <cfvo type="num" val="0"/>
        <cfvo type="num" val="$CM$19/2"/>
        <cfvo type="num" val="$CM$19*2"/>
        <color rgb="FFF8696B"/>
        <color rgb="FFFFEB84"/>
        <color rgb="FF47CFFF"/>
      </colorScale>
    </cfRule>
  </conditionalFormatting>
  <conditionalFormatting sqref="J20:CU20">
    <cfRule type="cellIs" dxfId="84" priority="73" stopIfTrue="1" operator="equal">
      <formula>0</formula>
    </cfRule>
  </conditionalFormatting>
  <conditionalFormatting sqref="J64:CU64 J63:R63 J9:CU62">
    <cfRule type="expression" dxfId="83" priority="15" stopIfTrue="1">
      <formula>J$13=""</formula>
    </cfRule>
  </conditionalFormatting>
  <conditionalFormatting sqref="J30:CU31">
    <cfRule type="cellIs" dxfId="82" priority="9" operator="equal">
      <formula>""</formula>
    </cfRule>
    <cfRule type="cellIs" dxfId="81" priority="117" operator="notEqual">
      <formula>""</formula>
    </cfRule>
  </conditionalFormatting>
  <conditionalFormatting sqref="S63:CU63">
    <cfRule type="expression" dxfId="80" priority="4" stopIfTrue="1">
      <formula>S$13=""</formula>
    </cfRule>
  </conditionalFormatting>
  <conditionalFormatting sqref="J52:CU52">
    <cfRule type="expression" dxfId="79" priority="14" stopIfTrue="1">
      <formula>J$13=""</formula>
    </cfRule>
  </conditionalFormatting>
  <conditionalFormatting sqref="J63:CU63">
    <cfRule type="expression" priority="21" stopIfTrue="1">
      <formula>IF(J$63="",FALSE,TRUE)</formula>
    </cfRule>
    <cfRule type="expression" dxfId="78" priority="499" stopIfTrue="1">
      <formula>ISNUMBER(SEARCH("Simic Hybrid",J$21))</formula>
    </cfRule>
    <cfRule type="expression" dxfId="77" priority="500" stopIfTrue="1">
      <formula>ISNUMBER(SEARCH("Barbarian",J$30))</formula>
    </cfRule>
    <cfRule type="expression" dxfId="76" priority="501" stopIfTrue="1">
      <formula>ISNUMBER(SEARCH("Monk",J$30))</formula>
    </cfRule>
    <cfRule type="cellIs" dxfId="75" priority="502" operator="equal">
      <formula>""</formula>
    </cfRule>
  </conditionalFormatting>
  <conditionalFormatting sqref="J9:CU12">
    <cfRule type="cellIs" dxfId="74" priority="13" operator="equal">
      <formula>""</formula>
    </cfRule>
  </conditionalFormatting>
  <conditionalFormatting sqref="J17:CU17">
    <cfRule type="cellIs" dxfId="73" priority="12" operator="equal">
      <formula>""</formula>
    </cfRule>
  </conditionalFormatting>
  <conditionalFormatting sqref="J19:CU19">
    <cfRule type="cellIs" dxfId="72" priority="11" operator="equal">
      <formula>""</formula>
    </cfRule>
  </conditionalFormatting>
  <conditionalFormatting sqref="J21:CU22">
    <cfRule type="cellIs" dxfId="71" priority="10" operator="equal">
      <formula>""</formula>
    </cfRule>
  </conditionalFormatting>
  <conditionalFormatting sqref="J57:CU57">
    <cfRule type="cellIs" dxfId="70" priority="6" operator="equal">
      <formula>""</formula>
    </cfRule>
  </conditionalFormatting>
  <conditionalFormatting sqref="J58:CU59">
    <cfRule type="cellIs" dxfId="69" priority="5" operator="equal">
      <formula>""</formula>
    </cfRule>
  </conditionalFormatting>
  <conditionalFormatting sqref="J49:CU49">
    <cfRule type="cellIs" dxfId="68" priority="3" operator="equal">
      <formula>""</formula>
    </cfRule>
  </conditionalFormatting>
  <conditionalFormatting sqref="J32:CU33">
    <cfRule type="cellIs" dxfId="67" priority="2" operator="equal">
      <formula>""</formula>
    </cfRule>
  </conditionalFormatting>
  <conditionalFormatting sqref="J50:CU52">
    <cfRule type="cellIs" dxfId="66" priority="1" operator="equal">
      <formula>""</formula>
    </cfRule>
  </conditionalFormatting>
  <dataValidations xWindow="240" yWindow="571" count="20">
    <dataValidation type="list" allowBlank="1" showInputMessage="1" promptTitle="Input" prompt="Input character race in this cell." sqref="J21:CU22" xr:uid="{00000000-0002-0000-0200-000000000000}">
      <formula1>INDIRECT("Races[Race]")</formula1>
    </dataValidation>
    <dataValidation type="list" allowBlank="1" showInputMessage="1" promptTitle="Input" prompt="Input character class in this cell." sqref="J30:CU31" xr:uid="{00000000-0002-0000-0200-000001000000}">
      <formula1>INDIRECT("Classes[Class]")</formula1>
    </dataValidation>
    <dataValidation allowBlank="1" showInputMessage="1" promptTitle="Warning!" prompt="Conditions are now applied to characters on the Readied Encounter tab." sqref="J34:CU35" xr:uid="{00000000-0002-0000-0200-000002000000}"/>
    <dataValidation type="list" allowBlank="1" showInputMessage="1" showErrorMessage="1" errorTitle="Error" error="Please either leave the cell blank, or select the checkmark from the dropdown." promptTitle="Active?" prompt="If this character is present for this session please select the check mark from the dropdown, if not leave the cell empty." sqref="J13:CU14" xr:uid="{00000000-0002-0000-0200-000003000000}">
      <formula1>INDIRECT("YesNo")</formula1>
    </dataValidation>
    <dataValidation type="list" allowBlank="1" showInputMessage="1" showErrorMessage="1" promptTitle="Armor?" prompt="Please select what armor the character is wearing from the dropdown or leave the cell blank. If non standard armors are input the AC and armor statistic cells will not calculate correctly." sqref="J58:CU59" xr:uid="{00000000-0002-0000-0200-000004000000}">
      <formula1>INDIRECT("Armors[Name]")</formula1>
    </dataValidation>
    <dataValidation allowBlank="1" showErrorMessage="1" promptTitle="Key Combo" prompt="Press Control+l to launch library lookup." sqref="A1:R8" xr:uid="{00000000-0002-0000-0200-000005000000}"/>
    <dataValidation type="whole" operator="greaterThan" allowBlank="1" showInputMessage="1" showErrorMessage="1" errorTitle="Input Error" error="HP must be a positive whole number." promptTitle="Input" prompt="Input character max health." sqref="J19:CU19" xr:uid="{00000000-0002-0000-0200-000007000000}">
      <formula1>0</formula1>
    </dataValidation>
    <dataValidation allowBlank="1" showInputMessage="1" showErrorMessage="1" promptTitle="Warning!" prompt="Do not modify this cell. Current HP is now changed on the Readied Encounter tab._x000a__x000a_Current HP will be blank until the encounter is readied and includes this player." sqref="J20:CU20" xr:uid="{00000000-0002-0000-0200-000008000000}"/>
    <dataValidation type="whole" operator="greaterThan" allowBlank="1" showInputMessage="1" showErrorMessage="1" errorTitle="Input Error" error="EXP must be a positive whole number or 0" promptTitle="Input" prompt="Input current player EXP in this cell." sqref="J17:CU17" xr:uid="{00000000-0002-0000-0200-000009000000}">
      <formula1>-1</formula1>
    </dataValidation>
    <dataValidation allowBlank="1" showInputMessage="1" showErrorMessage="1" promptTitle="Input" prompt="Input character height in this cell." sqref="J32:CU32" xr:uid="{00000000-0002-0000-0200-00000A000000}"/>
    <dataValidation allowBlank="1" showInputMessage="1" showErrorMessage="1" promptTitle="Input" prompt="Input character weight in this cell." sqref="J33:CU33" xr:uid="{00000000-0002-0000-0200-00000B000000}"/>
    <dataValidation type="list" allowBlank="1" showInputMessage="1" showErrorMessage="1" promptTitle="Sheild?" prompt="If the character is holding a shield please select the check mark from the drop down or leave the cell blank." sqref="J57:CU57" xr:uid="{00000000-0002-0000-0200-00000D000000}">
      <formula1>INDIRECT("YesNo")</formula1>
    </dataValidation>
    <dataValidation allowBlank="1" showInputMessage="1" promptTitle="Input" prompt="Please enter the character's name in this cell." sqref="J11:CU12" xr:uid="{00000000-0002-0000-0200-00000E000000}"/>
    <dataValidation allowBlank="1" showInputMessage="1" promptTitle="Input" prompt="Please enter the player's name in this cell." sqref="J9:CU10" xr:uid="{00000000-0002-0000-0200-00000F000000}"/>
    <dataValidation allowBlank="1" showInputMessage="1" showErrorMessage="1" promptTitle="Alert" prompt="For the best user experience please select from the players dropdown the number of players that will be in the campaign" sqref="S3" xr:uid="{00000000-0002-0000-0200-000010000000}"/>
    <dataValidation allowBlank="1" showInputMessage="1" showErrorMessage="1" promptTitle="Info" prompt="Delete all character information from the Player Manager" sqref="S1:AA2" xr:uid="{00000000-0002-0000-0200-000011000000}"/>
    <dataValidation allowBlank="1" showInputMessage="1" showErrorMessage="1" promptTitle="Info" prompt="Opns a form to award exp either as a party or individually" sqref="S5:AA6" xr:uid="{00000000-0002-0000-0200-000012000000}"/>
    <dataValidation allowBlank="1" showInputMessage="1" showErrorMessage="1" promptTitle="Search" prompt="Look up items, magic items, spells,conditions, environmental conditions, random encounters._x000a__x000a_Ctrl + l to launch." sqref="S7:AA8" xr:uid="{00000000-0002-0000-0200-000013000000}"/>
    <dataValidation allowBlank="1" showInputMessage="1" promptTitle="Warning!" prompt="Initiative modifier is automatically calculated based on dexterity score. If the character has any additional modifiers please just add a &quot;+ modifier&quot; to the end of the formula." sqref="J53:CU53" xr:uid="{00000000-0002-0000-0200-000006000000}"/>
    <dataValidation allowBlank="1" showInputMessage="1" promptTitle="Warning!" prompt="Concentration is managed on the Encounter Tab." sqref="J45:CU46" xr:uid="{5F939E69-3C07-40DC-BC0F-51A78491F694}"/>
  </dataValidations>
  <pageMargins left="0" right="0" top="0" bottom="0" header="0" footer="0"/>
  <pageSetup scale="105"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3" r:id="rId4" name="CMBPlayer">
              <controlPr defaultSize="0" autoLine="0" autoPict="0" macro="[0]!NumberPlayers">
                <anchor moveWithCells="1">
                  <from>
                    <xdr:col>27</xdr:col>
                    <xdr:colOff>0</xdr:colOff>
                    <xdr:row>2</xdr:row>
                    <xdr:rowOff>9525</xdr:rowOff>
                  </from>
                  <to>
                    <xdr:col>35</xdr:col>
                    <xdr:colOff>133350</xdr:colOff>
                    <xdr:row>3</xdr:row>
                    <xdr:rowOff>133350</xdr:rowOff>
                  </to>
                </anchor>
              </controlPr>
            </control>
          </mc:Choice>
        </mc:AlternateContent>
        <mc:AlternateContent xmlns:mc="http://schemas.openxmlformats.org/markup-compatibility/2006">
          <mc:Choice Requires="x14">
            <control shapeId="4115" r:id="rId5" name="Button 19">
              <controlPr defaultSize="0" print="0" autoFill="0" autoPict="0" macro="[0]!ConditionButton">
                <anchor moveWithCells="1">
                  <from>
                    <xdr:col>27</xdr:col>
                    <xdr:colOff>9525</xdr:colOff>
                    <xdr:row>6</xdr:row>
                    <xdr:rowOff>9525</xdr:rowOff>
                  </from>
                  <to>
                    <xdr:col>35</xdr:col>
                    <xdr:colOff>133350</xdr:colOff>
                    <xdr:row>7</xdr:row>
                    <xdr:rowOff>133350</xdr:rowOff>
                  </to>
                </anchor>
              </controlPr>
            </control>
          </mc:Choice>
        </mc:AlternateContent>
        <mc:AlternateContent xmlns:mc="http://schemas.openxmlformats.org/markup-compatibility/2006">
          <mc:Choice Requires="x14">
            <control shapeId="4130" r:id="rId6" name="Button 34">
              <controlPr defaultSize="0" print="0" autoFill="0" autoPict="0" macro="[0]!ClearPlayerSheet">
                <anchor moveWithCells="1" sizeWithCells="1">
                  <from>
                    <xdr:col>27</xdr:col>
                    <xdr:colOff>9525</xdr:colOff>
                    <xdr:row>0</xdr:row>
                    <xdr:rowOff>19050</xdr:rowOff>
                  </from>
                  <to>
                    <xdr:col>35</xdr:col>
                    <xdr:colOff>133350</xdr:colOff>
                    <xdr:row>1</xdr:row>
                    <xdr:rowOff>142875</xdr:rowOff>
                  </to>
                </anchor>
              </controlPr>
            </control>
          </mc:Choice>
        </mc:AlternateContent>
        <mc:AlternateContent xmlns:mc="http://schemas.openxmlformats.org/markup-compatibility/2006">
          <mc:Choice Requires="x14">
            <control shapeId="4131" r:id="rId7" name="Button 35">
              <controlPr defaultSize="0" print="0" autoFill="0" autoPict="0" macro="[0]!AwardIt">
                <anchor moveWithCells="1" sizeWithCells="1">
                  <from>
                    <xdr:col>27</xdr:col>
                    <xdr:colOff>19050</xdr:colOff>
                    <xdr:row>4</xdr:row>
                    <xdr:rowOff>19050</xdr:rowOff>
                  </from>
                  <to>
                    <xdr:col>31</xdr:col>
                    <xdr:colOff>76200</xdr:colOff>
                    <xdr:row>5</xdr:row>
                    <xdr:rowOff>142875</xdr:rowOff>
                  </to>
                </anchor>
              </controlPr>
            </control>
          </mc:Choice>
        </mc:AlternateContent>
        <mc:AlternateContent xmlns:mc="http://schemas.openxmlformats.org/markup-compatibility/2006">
          <mc:Choice Requires="x14">
            <control shapeId="4140" r:id="rId8" name="Button 44">
              <controlPr defaultSize="0" print="0" autoFill="0" autoPict="0" macro="[0]!LoadLootGenerator">
                <anchor moveWithCells="1" sizeWithCells="1">
                  <from>
                    <xdr:col>31</xdr:col>
                    <xdr:colOff>76200</xdr:colOff>
                    <xdr:row>4</xdr:row>
                    <xdr:rowOff>19050</xdr:rowOff>
                  </from>
                  <to>
                    <xdr:col>35</xdr:col>
                    <xdr:colOff>133350</xdr:colOff>
                    <xdr:row>5</xdr:row>
                    <xdr:rowOff>142875</xdr:rowOff>
                  </to>
                </anchor>
              </controlPr>
            </control>
          </mc:Choice>
        </mc:AlternateContent>
        <mc:AlternateContent xmlns:mc="http://schemas.openxmlformats.org/markup-compatibility/2006">
          <mc:Choice Requires="x14">
            <control shapeId="4143" r:id="rId9" name="Button 47">
              <controlPr defaultSize="0" print="0" autoFill="0" autoPict="0" macro="[0]!ShowCharacterLists">
                <anchor moveWithCells="1" sizeWithCells="1">
                  <from>
                    <xdr:col>0</xdr:col>
                    <xdr:colOff>0</xdr:colOff>
                    <xdr:row>66</xdr:row>
                    <xdr:rowOff>0</xdr:rowOff>
                  </from>
                  <to>
                    <xdr:col>8</xdr:col>
                    <xdr:colOff>142875</xdr:colOff>
                    <xdr:row>67</xdr:row>
                    <xdr:rowOff>9525</xdr:rowOff>
                  </to>
                </anchor>
              </controlPr>
            </control>
          </mc:Choice>
        </mc:AlternateContent>
        <mc:AlternateContent xmlns:mc="http://schemas.openxmlformats.org/markup-compatibility/2006">
          <mc:Choice Requires="x14">
            <control shapeId="4137" r:id="rId10" name="Button 41">
              <controlPr defaultSize="0" print="0" autoFill="0" autoPict="0" macro="[0]!ShowCharacterLists">
                <anchor moveWithCells="1" sizeWithCells="1">
                  <from>
                    <xdr:col>0</xdr:col>
                    <xdr:colOff>0</xdr:colOff>
                    <xdr:row>65</xdr:row>
                    <xdr:rowOff>28575</xdr:rowOff>
                  </from>
                  <to>
                    <xdr:col>8</xdr:col>
                    <xdr:colOff>142875</xdr:colOff>
                    <xdr:row>65</xdr:row>
                    <xdr:rowOff>190500</xdr:rowOff>
                  </to>
                </anchor>
              </controlPr>
            </control>
          </mc:Choice>
        </mc:AlternateContent>
        <mc:AlternateContent xmlns:mc="http://schemas.openxmlformats.org/markup-compatibility/2006">
          <mc:Choice Requires="x14">
            <control shapeId="4139" r:id="rId11" name="Button 43">
              <controlPr defaultSize="0" print="0" autoFill="0" autoPict="0" macro="[0]!ShowHideRowsX">
                <anchor moveWithCells="1" sizeWithCells="1">
                  <from>
                    <xdr:col>0</xdr:col>
                    <xdr:colOff>0</xdr:colOff>
                    <xdr:row>64</xdr:row>
                    <xdr:rowOff>9525</xdr:rowOff>
                  </from>
                  <to>
                    <xdr:col>8</xdr:col>
                    <xdr:colOff>142875</xdr:colOff>
                    <xdr:row>65</xdr:row>
                    <xdr:rowOff>19050</xdr:rowOff>
                  </to>
                </anchor>
              </controlPr>
            </control>
          </mc:Choice>
        </mc:AlternateContent>
        <mc:AlternateContent xmlns:mc="http://schemas.openxmlformats.org/markup-compatibility/2006">
          <mc:Choice Requires="x14">
            <control shapeId="4144" r:id="rId12" name="Button 48">
              <controlPr defaultSize="0" print="0" autoFill="0" autoPict="0" macro="[0]!QuickStart">
                <anchor moveWithCells="1" sizeWithCells="1">
                  <from>
                    <xdr:col>0</xdr:col>
                    <xdr:colOff>0</xdr:colOff>
                    <xdr:row>66</xdr:row>
                    <xdr:rowOff>0</xdr:rowOff>
                  </from>
                  <to>
                    <xdr:col>8</xdr:col>
                    <xdr:colOff>142875</xdr:colOff>
                    <xdr:row>67</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72" stopIfTrue="1" operator="equal" id="{AC9AB0F2-7CBF-4B0F-9DCB-0CFBB5F1C396}">
            <xm:f>'Character Lists'!$S$16</xm:f>
            <x14:dxf>
              <font>
                <color rgb="FF7030A0"/>
              </font>
              <fill>
                <patternFill patternType="lightTrellis">
                  <fgColor rgb="FFCDACE6"/>
                  <bgColor rgb="FFA66BD3"/>
                </patternFill>
              </fill>
            </x14:dxf>
          </x14:cfRule>
          <x14:cfRule type="cellIs" priority="104" stopIfTrue="1" operator="equal" id="{A71AEE36-2FD5-4699-BE2E-833866F20D07}">
            <xm:f>'Character Lists'!$S$15</xm:f>
            <x14:dxf>
              <font>
                <color theme="7" tint="0.79998168889431442"/>
              </font>
              <fill>
                <patternFill patternType="gray0625">
                  <fgColor theme="7" tint="0.79998168889431442"/>
                  <bgColor theme="2" tint="-9.9917600024414813E-2"/>
                </patternFill>
              </fill>
            </x14:dxf>
          </x14:cfRule>
          <x14:cfRule type="cellIs" priority="105" stopIfTrue="1" operator="equal" id="{EC2E2B3B-5942-4FCD-93C1-C76DB981494D}">
            <xm:f>'Character Lists'!$S$14</xm:f>
            <x14:dxf>
              <font>
                <color rgb="FF00B0F0"/>
              </font>
              <fill>
                <patternFill patternType="gray0625">
                  <fgColor rgb="FFBDD6D9"/>
                  <bgColor rgb="FFE7F0F1"/>
                </patternFill>
              </fill>
            </x14:dxf>
          </x14:cfRule>
          <x14:cfRule type="cellIs" priority="106" stopIfTrue="1" operator="equal" id="{3A150409-38AB-4C98-8CC8-6B0261FA8730}">
            <xm:f>'Character Lists'!$S$13</xm:f>
            <x14:dxf>
              <font>
                <color theme="0" tint="-0.24994659260841701"/>
              </font>
              <fill>
                <patternFill>
                  <bgColor rgb="FF7030A0"/>
                </patternFill>
              </fill>
            </x14:dxf>
          </x14:cfRule>
          <x14:cfRule type="cellIs" priority="107" stopIfTrue="1" operator="equal" id="{15C6AF92-1587-4773-BCDF-EA1312F6887E}">
            <xm:f>'Character Lists'!$S$12</xm:f>
            <x14:dxf>
              <font>
                <color theme="0"/>
              </font>
              <fill>
                <patternFill>
                  <bgColor rgb="FFDEC8EE"/>
                </patternFill>
              </fill>
            </x14:dxf>
          </x14:cfRule>
          <x14:cfRule type="cellIs" priority="108" stopIfTrue="1" operator="equal" id="{DF32552B-44C9-45B8-A96D-9EE986FBA7D1}">
            <xm:f>'Character Lists'!$S$11</xm:f>
            <x14:dxf>
              <font>
                <color theme="0" tint="-0.34998626667073579"/>
              </font>
              <fill>
                <patternFill>
                  <bgColor theme="1" tint="0.24994659260841701"/>
                </patternFill>
              </fill>
            </x14:dxf>
          </x14:cfRule>
          <x14:cfRule type="cellIs" priority="109" stopIfTrue="1" operator="equal" id="{9DE8FE2A-3661-4FA4-8FE0-FC0B1A27A345}">
            <xm:f>'Character Lists'!$S$10</xm:f>
            <x14:dxf>
              <font>
                <color theme="1"/>
              </font>
              <fill>
                <patternFill>
                  <bgColor theme="9" tint="0.59996337778862885"/>
                </patternFill>
              </fill>
            </x14:dxf>
          </x14:cfRule>
          <x14:cfRule type="cellIs" priority="110" stopIfTrue="1" operator="equal" id="{F08D0F17-2FC4-4C7A-A30C-3623B18D9D53}">
            <xm:f>'Character Lists'!$S$9</xm:f>
            <x14:dxf>
              <font>
                <color theme="1" tint="0.34998626667073579"/>
              </font>
              <fill>
                <patternFill>
                  <bgColor theme="7" tint="0.39994506668294322"/>
                </patternFill>
              </fill>
            </x14:dxf>
          </x14:cfRule>
          <x14:cfRule type="cellIs" priority="111" stopIfTrue="1" operator="equal" id="{671AB086-0583-41D7-957B-92B1F149E8F0}">
            <xm:f>'Character Lists'!$S$5</xm:f>
            <x14:dxf>
              <font>
                <color rgb="FF5A362F"/>
              </font>
              <fill>
                <patternFill>
                  <bgColor theme="7" tint="0.39994506668294322"/>
                </patternFill>
              </fill>
            </x14:dxf>
          </x14:cfRule>
          <x14:cfRule type="cellIs" priority="112" stopIfTrue="1" operator="equal" id="{FBAB789F-339B-4901-9E09-970DB744EA89}">
            <xm:f>'Character Lists'!$S$8</xm:f>
            <x14:dxf>
              <font>
                <color theme="1" tint="0.14996795556505021"/>
              </font>
              <fill>
                <patternFill>
                  <bgColor theme="0" tint="-0.14996795556505021"/>
                </patternFill>
              </fill>
            </x14:dxf>
          </x14:cfRule>
          <x14:cfRule type="cellIs" priority="113" stopIfTrue="1" operator="equal" id="{12D01D85-D8F8-45CB-B7F6-6C29EFFF5BB5}">
            <xm:f>'Character Lists'!$S$7</xm:f>
            <x14:dxf>
              <fill>
                <patternFill>
                  <bgColor rgb="FFFF6161"/>
                </patternFill>
              </fill>
            </x14:dxf>
          </x14:cfRule>
          <x14:cfRule type="cellIs" priority="114" stopIfTrue="1" operator="equal" id="{41AEEABC-7CE9-44C2-98EE-919942E5581C}">
            <xm:f>'Character Lists'!$S$6</xm:f>
            <x14:dxf>
              <font>
                <color theme="0"/>
              </font>
              <fill>
                <patternFill>
                  <bgColor rgb="FF00B050"/>
                </patternFill>
              </fill>
            </x14:dxf>
          </x14:cfRule>
          <x14:cfRule type="cellIs" priority="115" stopIfTrue="1" operator="equal" id="{F5598DCC-3CD4-4706-932E-4DFB744186B7}">
            <xm:f>'Character Lists'!$S$4</xm:f>
            <x14:dxf>
              <font>
                <color rgb="FF5A362F"/>
              </font>
              <fill>
                <patternFill>
                  <bgColor theme="7" tint="0.59996337778862885"/>
                </patternFill>
              </fill>
            </x14:dxf>
          </x14:cfRule>
          <x14:cfRule type="cellIs" priority="116" stopIfTrue="1" operator="equal" id="{D356EC80-4949-46A8-A256-0B5D4A0F06F3}">
            <xm:f>'Character Lists'!$S$3</xm:f>
            <x14:dxf>
              <font>
                <color theme="0"/>
              </font>
              <fill>
                <patternFill>
                  <bgColor rgb="FFC00000"/>
                </patternFill>
              </fill>
            </x14:dxf>
          </x14:cfRule>
          <xm:sqref>J30:R31</xm:sqref>
        </x14:conditionalFormatting>
        <x14:conditionalFormatting xmlns:xm="http://schemas.microsoft.com/office/excel/2006/main">
          <x14:cfRule type="cellIs" priority="58" stopIfTrue="1" operator="equal" id="{D4E205E1-89D8-438A-BCEC-A6CCF9E123BB}">
            <xm:f>'Character Lists'!$S$16</xm:f>
            <x14:dxf>
              <font>
                <color rgb="FF7030A0"/>
              </font>
              <fill>
                <patternFill patternType="lightTrellis">
                  <fgColor rgb="FFCDACE6"/>
                  <bgColor rgb="FFA66BD3"/>
                </patternFill>
              </fill>
            </x14:dxf>
          </x14:cfRule>
          <x14:cfRule type="cellIs" priority="59" stopIfTrue="1" operator="equal" id="{A24C266E-7997-454A-B554-51482C3E0017}">
            <xm:f>'Character Lists'!$S$15</xm:f>
            <x14:dxf>
              <font>
                <color theme="7" tint="0.79998168889431442"/>
              </font>
              <fill>
                <patternFill patternType="gray0625">
                  <fgColor theme="7" tint="0.79998168889431442"/>
                  <bgColor theme="2" tint="-9.9917600024414813E-2"/>
                </patternFill>
              </fill>
            </x14:dxf>
          </x14:cfRule>
          <x14:cfRule type="cellIs" priority="60" stopIfTrue="1" operator="equal" id="{675392D7-E32F-4ED0-A0FD-4EEBE0420BE5}">
            <xm:f>'Character Lists'!$S$14</xm:f>
            <x14:dxf>
              <font>
                <color rgb="FF00B0F0"/>
              </font>
              <fill>
                <patternFill patternType="gray0625">
                  <fgColor rgb="FFBDD6D9"/>
                  <bgColor rgb="FFE7F0F1"/>
                </patternFill>
              </fill>
            </x14:dxf>
          </x14:cfRule>
          <x14:cfRule type="cellIs" priority="61" stopIfTrue="1" operator="equal" id="{98D75FBB-8EBE-4274-B599-628A74E3D184}">
            <xm:f>'Character Lists'!$S$13</xm:f>
            <x14:dxf>
              <font>
                <color theme="0" tint="-0.24994659260841701"/>
              </font>
              <fill>
                <patternFill>
                  <bgColor rgb="FF7030A0"/>
                </patternFill>
              </fill>
            </x14:dxf>
          </x14:cfRule>
          <x14:cfRule type="cellIs" priority="62" stopIfTrue="1" operator="equal" id="{2C60B347-3272-40EF-A511-C0A032A3BF67}">
            <xm:f>'Character Lists'!$S$12</xm:f>
            <x14:dxf>
              <font>
                <color theme="0"/>
              </font>
              <fill>
                <patternFill>
                  <bgColor rgb="FFDEC8EE"/>
                </patternFill>
              </fill>
            </x14:dxf>
          </x14:cfRule>
          <x14:cfRule type="cellIs" priority="63" stopIfTrue="1" operator="equal" id="{BC40106C-EB04-41E7-BE83-2F1D8C782951}">
            <xm:f>'Character Lists'!$S$11</xm:f>
            <x14:dxf>
              <font>
                <color theme="0" tint="-0.34998626667073579"/>
              </font>
              <fill>
                <patternFill>
                  <bgColor theme="1" tint="0.24994659260841701"/>
                </patternFill>
              </fill>
            </x14:dxf>
          </x14:cfRule>
          <x14:cfRule type="cellIs" priority="64" stopIfTrue="1" operator="equal" id="{AB89DC69-9877-4D56-BBE0-0A95533A97E8}">
            <xm:f>'Character Lists'!$S$10</xm:f>
            <x14:dxf>
              <font>
                <color theme="1"/>
              </font>
              <fill>
                <patternFill>
                  <bgColor theme="9" tint="0.59996337778862885"/>
                </patternFill>
              </fill>
            </x14:dxf>
          </x14:cfRule>
          <x14:cfRule type="cellIs" priority="65" stopIfTrue="1" operator="equal" id="{D1588F2D-9FE0-4508-827B-7BA0A19F283C}">
            <xm:f>'Character Lists'!$S$9</xm:f>
            <x14:dxf>
              <font>
                <color theme="1" tint="0.34998626667073579"/>
              </font>
              <fill>
                <patternFill>
                  <bgColor theme="7" tint="0.39994506668294322"/>
                </patternFill>
              </fill>
            </x14:dxf>
          </x14:cfRule>
          <x14:cfRule type="cellIs" priority="66" stopIfTrue="1" operator="equal" id="{4502A13C-CE5F-4FC6-815A-F202893FBC79}">
            <xm:f>'Character Lists'!$S$5</xm:f>
            <x14:dxf>
              <font>
                <color rgb="FF5A362F"/>
              </font>
              <fill>
                <patternFill>
                  <bgColor theme="7" tint="0.39994506668294322"/>
                </patternFill>
              </fill>
            </x14:dxf>
          </x14:cfRule>
          <x14:cfRule type="cellIs" priority="67" stopIfTrue="1" operator="equal" id="{15BDDF7B-9278-411A-ACD6-73EDC4CB3661}">
            <xm:f>'Character Lists'!$S$8</xm:f>
            <x14:dxf>
              <font>
                <color theme="1" tint="0.14996795556505021"/>
              </font>
              <fill>
                <patternFill>
                  <bgColor theme="0" tint="-0.14996795556505021"/>
                </patternFill>
              </fill>
            </x14:dxf>
          </x14:cfRule>
          <x14:cfRule type="cellIs" priority="68" stopIfTrue="1" operator="equal" id="{C447CFC2-8F73-4DEE-87CC-2C388FA0D0DA}">
            <xm:f>'Character Lists'!$S$7</xm:f>
            <x14:dxf>
              <fill>
                <patternFill>
                  <bgColor rgb="FFFF6161"/>
                </patternFill>
              </fill>
            </x14:dxf>
          </x14:cfRule>
          <x14:cfRule type="cellIs" priority="69" stopIfTrue="1" operator="equal" id="{DDFAAF03-DE45-4E0E-A128-BA8EF82CE398}">
            <xm:f>'Character Lists'!$S$6</xm:f>
            <x14:dxf>
              <font>
                <color theme="0"/>
              </font>
              <fill>
                <patternFill>
                  <bgColor rgb="FF00B050"/>
                </patternFill>
              </fill>
            </x14:dxf>
          </x14:cfRule>
          <x14:cfRule type="cellIs" priority="70" stopIfTrue="1" operator="equal" id="{7FBA1D24-1C2D-4584-8854-A55DDB85BF93}">
            <xm:f>'Character Lists'!$S$4</xm:f>
            <x14:dxf>
              <font>
                <color rgb="FF5A362F"/>
              </font>
              <fill>
                <patternFill>
                  <bgColor theme="7" tint="0.59996337778862885"/>
                </patternFill>
              </fill>
            </x14:dxf>
          </x14:cfRule>
          <x14:cfRule type="cellIs" priority="71" stopIfTrue="1" operator="equal" id="{ACC31D67-FCC9-4D67-B74D-AEBE480BB257}">
            <xm:f>'Character Lists'!$S$3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240" yWindow="571" count="7">
        <x14:dataValidation type="list" allowBlank="1" showInputMessage="1" promptTitle="Input" prompt="Input character dexterity score in this cell." xr:uid="{00000000-0002-0000-0200-000014000000}">
          <x14:formula1>
            <xm:f>'Aux Lists'!$L$5:$L$22</xm:f>
          </x14:formula1>
          <xm:sqref>J51:CU51</xm:sqref>
        </x14:dataValidation>
        <x14:dataValidation type="list" allowBlank="1" xr:uid="{00000000-0002-0000-0200-000015000000}">
          <x14:formula1>
            <xm:f>'Aux Lists'!$L$5:$L$22</xm:f>
          </x14:formula1>
          <xm:sqref>J47:CU48</xm:sqref>
        </x14:dataValidation>
        <x14:dataValidation type="list" allowBlank="1" showInputMessage="1" promptTitle="Input" prompt="Input character passive preception in this cell." xr:uid="{00000000-0002-0000-0200-000016000000}">
          <x14:formula1>
            <xm:f>'Aux Lists'!$L$5:$L$22</xm:f>
          </x14:formula1>
          <xm:sqref>J49:CU49</xm:sqref>
        </x14:dataValidation>
        <x14:dataValidation type="list" allowBlank="1" showInputMessage="1" promptTitle="Input" prompt="Input character strength score in this cell." xr:uid="{00000000-0002-0000-0200-000017000000}">
          <x14:formula1>
            <xm:f>'Aux Lists'!$L$5:$L$22</xm:f>
          </x14:formula1>
          <xm:sqref>J50:CU50</xm:sqref>
        </x14:dataValidation>
        <x14:dataValidation type="list" allowBlank="1" showInputMessage="1" prompt="Input character strength score in this cell." xr:uid="{00000000-0002-0000-0200-000018000000}">
          <x14:formula1>
            <xm:f>'Aux Lists'!$L$5:$L$22</xm:f>
          </x14:formula1>
          <xm:sqref>J50:CU50</xm:sqref>
        </x14:dataValidation>
        <x14:dataValidation type="list" allowBlank="1" showInputMessage="1" promptTitle="Input" prompt="Any additional modifiers to AC not previously accounted for can be added here. This value must be numeric." xr:uid="{00000000-0002-0000-0200-000019000000}">
          <x14:formula1>
            <xm:f>'Aux Lists'!$L$3:$L$22</xm:f>
          </x14:formula1>
          <xm:sqref>J63:CU63</xm:sqref>
        </x14:dataValidation>
        <x14:dataValidation type="list" allowBlank="1" showInputMessage="1" promptTitle="Input" prompt="Input character constitution score in this cell." xr:uid="{71F76D54-CD60-46B4-A5C7-74D06ACE49C6}">
          <x14:formula1>
            <xm:f>'Aux Lists'!$L$5:$L$22</xm:f>
          </x14:formula1>
          <xm:sqref>J52:CU52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tabColor rgb="FF5A362F"/>
  </sheetPr>
  <dimension ref="A1:R21"/>
  <sheetViews>
    <sheetView showGridLines="0" showRowColHeaders="0" workbookViewId="0">
      <selection activeCell="N32" sqref="N32"/>
    </sheetView>
  </sheetViews>
  <sheetFormatPr defaultColWidth="9.140625" defaultRowHeight="15" x14ac:dyDescent="0.25"/>
  <cols>
    <col min="1" max="1" width="10.85546875" style="55" bestFit="1" customWidth="1"/>
    <col min="2" max="2" width="11.85546875" style="55" bestFit="1" customWidth="1"/>
    <col min="3" max="3" width="17.7109375" style="55" bestFit="1" customWidth="1"/>
    <col min="4" max="4" width="16.140625" style="55" bestFit="1" customWidth="1"/>
    <col min="5" max="5" width="10.7109375" style="55" bestFit="1" customWidth="1"/>
    <col min="6" max="6" width="14.85546875" style="55" bestFit="1" customWidth="1"/>
    <col min="7" max="7" width="18.140625" style="55" bestFit="1" customWidth="1"/>
    <col min="8" max="8" width="22.7109375" style="55" bestFit="1" customWidth="1"/>
    <col min="9" max="9" width="3.42578125" style="55" bestFit="1" customWidth="1"/>
    <col min="10" max="10" width="17.5703125" style="55" bestFit="1" customWidth="1"/>
    <col min="11" max="11" width="3.85546875" style="55" bestFit="1" customWidth="1"/>
    <col min="12" max="12" width="21.7109375" style="55" bestFit="1" customWidth="1"/>
    <col min="13" max="13" width="15.5703125" style="55" bestFit="1" customWidth="1"/>
    <col min="14" max="16" width="9.140625" style="55" customWidth="1"/>
    <col min="17" max="17" width="7.140625" style="55" customWidth="1"/>
    <col min="18" max="16384" width="9.140625" style="55"/>
  </cols>
  <sheetData>
    <row r="1" spans="1:13" x14ac:dyDescent="0.25">
      <c r="A1" s="202" t="s">
        <v>361</v>
      </c>
      <c r="B1" s="84">
        <f>SUM(Encounter[Unweighted EXP Value])</f>
        <v>90</v>
      </c>
      <c r="C1" s="85">
        <f>INDEX(EncounterMultiplier[],MATCH(IF(COUNT(Encounter['#])&lt;1,1,COUNT(Encounter['#])),EncounterMultiplier[Enemies],1),2)*B1</f>
        <v>180</v>
      </c>
      <c r="D1" s="88">
        <f>IF(AwardWeightedEXP=FALSE,IFERROR(ROUND(B1/COUNTA('Player Manager'!J13:CU14),0),"-"),IFERROR(ROUND(C1/COUNTA('Player Manager'!J13:CU14),0),"-"))</f>
        <v>11</v>
      </c>
      <c r="E1" s="205" t="s">
        <v>794</v>
      </c>
      <c r="F1" s="205" t="s">
        <v>793</v>
      </c>
      <c r="G1" s="207" t="s">
        <v>362</v>
      </c>
      <c r="H1" s="207" t="s">
        <v>363</v>
      </c>
    </row>
    <row r="2" spans="1:13" ht="15.75" thickBot="1" x14ac:dyDescent="0.3">
      <c r="A2" s="203"/>
      <c r="B2" s="204" t="str">
        <f ca="1">"Average CR " &amp; IFERROR(ROUND(AVERAGE(Encounter[CR]),0),"&lt; 1") &amp; ", Difficulty " &amp; IFERROR(INDEX('Encounter Builder'!U2:AF2,1,MATCH(C1,'Encounter Builder'!U3:AF3,1)),"Trivial")</f>
        <v>Average CR 0, Difficulty Trivial</v>
      </c>
      <c r="C2" s="204"/>
      <c r="D2" s="89" t="s">
        <v>364</v>
      </c>
      <c r="E2" s="206"/>
      <c r="F2" s="206"/>
      <c r="G2" s="208"/>
      <c r="H2" s="208"/>
    </row>
    <row r="4" spans="1:13" x14ac:dyDescent="0.25">
      <c r="A4" t="s">
        <v>365</v>
      </c>
      <c r="B4" s="94" t="s">
        <v>366</v>
      </c>
      <c r="C4" s="94" t="s">
        <v>367</v>
      </c>
      <c r="D4" s="94" t="s">
        <v>348</v>
      </c>
      <c r="E4" s="94" t="s">
        <v>368</v>
      </c>
      <c r="F4" s="94" t="s">
        <v>369</v>
      </c>
      <c r="G4" t="s">
        <v>146</v>
      </c>
      <c r="H4" t="s">
        <v>150</v>
      </c>
      <c r="I4" s="69" t="s">
        <v>360</v>
      </c>
      <c r="J4" s="69" t="s">
        <v>355</v>
      </c>
      <c r="K4" s="69" t="s">
        <v>22</v>
      </c>
      <c r="L4" s="69" t="s">
        <v>370</v>
      </c>
      <c r="M4" t="s">
        <v>371</v>
      </c>
    </row>
    <row r="5" spans="1:13" x14ac:dyDescent="0.25">
      <c r="A5" s="93" t="str">
        <f>IF(Encounter[[#This Row],[Wound]]&gt;=Encounter[[#This Row],[HP Max]],"Rat (Unconcious)","Rat")</f>
        <v>Rat</v>
      </c>
      <c r="B5" s="92">
        <v>4</v>
      </c>
      <c r="C5" s="90">
        <v>20</v>
      </c>
      <c r="D5" s="90"/>
      <c r="E5" s="90">
        <v>2</v>
      </c>
      <c r="F5" s="90"/>
      <c r="G5" s="91"/>
      <c r="H5" s="91" t="s">
        <v>373</v>
      </c>
      <c r="I5" s="92">
        <v>10</v>
      </c>
      <c r="J5" s="90">
        <v>0</v>
      </c>
      <c r="K5" s="92">
        <v>0</v>
      </c>
      <c r="L5" s="95">
        <v>10</v>
      </c>
      <c r="M5" s="96" t="s">
        <v>101</v>
      </c>
    </row>
    <row r="6" spans="1:13" x14ac:dyDescent="0.25">
      <c r="A6" s="93" t="str">
        <f>IF(Encounter[[#This Row],[Wound]]&gt;=Encounter[[#This Row],[HP Max]],"Rat (Unconcious)","Rat")</f>
        <v>Rat</v>
      </c>
      <c r="B6" s="92">
        <v>2</v>
      </c>
      <c r="C6" s="90">
        <v>18</v>
      </c>
      <c r="D6" s="90"/>
      <c r="E6" s="90">
        <v>1</v>
      </c>
      <c r="F6" s="90"/>
      <c r="G6" s="91"/>
      <c r="H6" s="91" t="s">
        <v>373</v>
      </c>
      <c r="I6" s="92">
        <v>10</v>
      </c>
      <c r="J6" s="90">
        <v>0</v>
      </c>
      <c r="K6" s="92">
        <v>0</v>
      </c>
      <c r="L6" s="95">
        <v>10</v>
      </c>
      <c r="M6" s="96" t="s">
        <v>101</v>
      </c>
    </row>
    <row r="7" spans="1:13" x14ac:dyDescent="0.25">
      <c r="A7" s="93" t="str">
        <f>IF(Encounter[[#This Row],[Wound]]&gt;=Encounter[[#This Row],[HP Max]],"Giant Rat (Unconcious)","Giant Rat")</f>
        <v>Giant Rat</v>
      </c>
      <c r="B7" s="92">
        <v>2</v>
      </c>
      <c r="C7" s="90">
        <v>16</v>
      </c>
      <c r="D7" s="90"/>
      <c r="E7" s="90">
        <v>10</v>
      </c>
      <c r="F7" s="90"/>
      <c r="G7" s="91"/>
      <c r="H7" s="91" t="s">
        <v>372</v>
      </c>
      <c r="I7" s="92">
        <v>12</v>
      </c>
      <c r="J7" s="90">
        <v>2</v>
      </c>
      <c r="K7" s="92" t="s">
        <v>24</v>
      </c>
      <c r="L7" s="95">
        <v>25</v>
      </c>
      <c r="M7" s="96" t="s">
        <v>101</v>
      </c>
    </row>
    <row r="8" spans="1:13" x14ac:dyDescent="0.25">
      <c r="A8" s="93" t="str">
        <f>IF(Encounter[[#This Row],[Wound]]&gt;=Encounter[[#This Row],[HP Max]],"Giant Rat (Unconcious)","Giant Rat")</f>
        <v>Giant Rat</v>
      </c>
      <c r="B8" s="92">
        <v>1</v>
      </c>
      <c r="C8" s="90">
        <v>12</v>
      </c>
      <c r="D8" s="90"/>
      <c r="E8" s="90">
        <v>9</v>
      </c>
      <c r="F8" s="90"/>
      <c r="G8" s="91"/>
      <c r="H8" s="91" t="s">
        <v>372</v>
      </c>
      <c r="I8" s="92">
        <v>12</v>
      </c>
      <c r="J8" s="90">
        <v>2</v>
      </c>
      <c r="K8" s="92" t="s">
        <v>24</v>
      </c>
      <c r="L8" s="95">
        <v>25</v>
      </c>
      <c r="M8" s="96" t="s">
        <v>101</v>
      </c>
    </row>
    <row r="9" spans="1:13" x14ac:dyDescent="0.25">
      <c r="A9" s="93" t="str">
        <f>IF(Encounter[[#This Row],[Wound]]&gt;=Encounter[[#This Row],[HP Max]],"Rat (Unconcious)","Rat")</f>
        <v>Rat</v>
      </c>
      <c r="B9" s="92">
        <v>3</v>
      </c>
      <c r="C9" s="90">
        <v>7</v>
      </c>
      <c r="D9" s="90"/>
      <c r="E9" s="90">
        <v>3</v>
      </c>
      <c r="F9" s="90"/>
      <c r="G9" s="91"/>
      <c r="H9" s="91" t="s">
        <v>373</v>
      </c>
      <c r="I9" s="92">
        <v>10</v>
      </c>
      <c r="J9" s="90">
        <v>0</v>
      </c>
      <c r="K9" s="92">
        <v>0</v>
      </c>
      <c r="L9" s="95">
        <v>10</v>
      </c>
      <c r="M9" s="96" t="s">
        <v>101</v>
      </c>
    </row>
    <row r="10" spans="1:13" x14ac:dyDescent="0.25">
      <c r="A10" s="93" t="str">
        <f>IF(Encounter[[#This Row],[Wound]]&gt;=Encounter[[#This Row],[HP Max]],"Rat (Unconcious)","Rat")</f>
        <v>Rat</v>
      </c>
      <c r="B10" s="92">
        <v>1</v>
      </c>
      <c r="C10" s="90">
        <v>5</v>
      </c>
      <c r="D10" s="90"/>
      <c r="E10" s="90">
        <v>1</v>
      </c>
      <c r="F10" s="90"/>
      <c r="G10" s="91"/>
      <c r="H10" s="91" t="s">
        <v>373</v>
      </c>
      <c r="I10" s="92">
        <v>10</v>
      </c>
      <c r="J10" s="90">
        <v>0</v>
      </c>
      <c r="K10" s="92">
        <v>0</v>
      </c>
      <c r="L10" s="95">
        <v>10</v>
      </c>
      <c r="M10" s="96" t="s">
        <v>101</v>
      </c>
    </row>
    <row r="11" spans="1:13" x14ac:dyDescent="0.25">
      <c r="A11" s="93" t="str">
        <f>IF(Encounter[[#This Row],[Wound]]&gt;=Encounter[[#This Row],[HP Max]],'Player Manager'!$AK$11 &amp; " (Unconcious)",'Player Manager'!$AK$11)</f>
        <v>Dagga</v>
      </c>
      <c r="B11" s="92" t="s">
        <v>374</v>
      </c>
      <c r="C11" s="90"/>
      <c r="D11" s="90"/>
      <c r="E11" s="90">
        <f>'Player Manager'!$AK$19</f>
        <v>67</v>
      </c>
      <c r="F11" s="90"/>
      <c r="G11" s="91"/>
      <c r="H11" s="91" t="str">
        <f>IFERROR(VLOOKUP('Player Manager'!$AK$21,Races[],4,FALSE),"N/A")</f>
        <v>Medium Humanoid</v>
      </c>
      <c r="I11" s="92">
        <f ca="1">'Player Manager'!$AK$64</f>
        <v>15</v>
      </c>
      <c r="J11" s="90">
        <f>'Player Manager'!$AK$53</f>
        <v>3</v>
      </c>
      <c r="K11" s="92" t="s">
        <v>374</v>
      </c>
      <c r="L11" s="95" t="s">
        <v>374</v>
      </c>
      <c r="M11" s="96" t="s">
        <v>374</v>
      </c>
    </row>
    <row r="12" spans="1:13" x14ac:dyDescent="0.25">
      <c r="A12" s="93" t="str">
        <f>IF(Encounter[[#This Row],[Wound]]&gt;=Encounter[[#This Row],[HP Max]],'Player Manager'!$AT$11 &amp; " (Unconcious)",'Player Manager'!$AT$11)</f>
        <v>Ed</v>
      </c>
      <c r="B12" s="92" t="s">
        <v>374</v>
      </c>
      <c r="C12" s="90"/>
      <c r="D12" s="90"/>
      <c r="E12" s="90">
        <f>'Player Manager'!$AT$19</f>
        <v>97</v>
      </c>
      <c r="F12" s="90"/>
      <c r="G12" s="91"/>
      <c r="H12" s="91" t="str">
        <f>IFERROR(VLOOKUP('Player Manager'!$AT$21,Races[],4,FALSE),"N/A")</f>
        <v>Medium Humanoid</v>
      </c>
      <c r="I12" s="92">
        <f ca="1">'Player Manager'!$AT$64</f>
        <v>15</v>
      </c>
      <c r="J12" s="90">
        <f>'Player Manager'!$AT$53</f>
        <v>3</v>
      </c>
      <c r="K12" s="92" t="s">
        <v>374</v>
      </c>
      <c r="L12" s="95" t="s">
        <v>374</v>
      </c>
      <c r="M12" s="96" t="s">
        <v>374</v>
      </c>
    </row>
    <row r="13" spans="1:13" x14ac:dyDescent="0.25">
      <c r="A13" s="93" t="str">
        <f>IF(Encounter[[#This Row],[Wound]]&gt;=Encounter[[#This Row],[HP Max]],'Player Manager'!$BL$11 &amp; " (Unconcious)",'Player Manager'!$BL$11)</f>
        <v>Gaffa</v>
      </c>
      <c r="B13" s="92" t="s">
        <v>374</v>
      </c>
      <c r="C13" s="90"/>
      <c r="D13" s="90"/>
      <c r="E13" s="90">
        <f>'Player Manager'!$BL$19</f>
        <v>34</v>
      </c>
      <c r="F13" s="90"/>
      <c r="G13" s="91"/>
      <c r="H13" s="91" t="str">
        <f>IFERROR(VLOOKUP('Player Manager'!$BL$21,Races[],4,FALSE),"N/A")</f>
        <v>Medium Humanoid</v>
      </c>
      <c r="I13" s="92">
        <f ca="1">'Player Manager'!$BL$64</f>
        <v>18</v>
      </c>
      <c r="J13" s="90">
        <f>'Player Manager'!$BL$53</f>
        <v>3</v>
      </c>
      <c r="K13" s="92" t="s">
        <v>374</v>
      </c>
      <c r="L13" s="95" t="s">
        <v>374</v>
      </c>
      <c r="M13" s="96" t="s">
        <v>374</v>
      </c>
    </row>
    <row r="14" spans="1:13" x14ac:dyDescent="0.25">
      <c r="A14" s="93" t="str">
        <f>IF(Encounter[[#This Row],[Wound]]&gt;=Encounter[[#This Row],[HP Max]],'Player Manager'!$S$11 &amp; " (Unconcious)",'Player Manager'!$S$11)</f>
        <v>Broug</v>
      </c>
      <c r="B14" s="92" t="s">
        <v>374</v>
      </c>
      <c r="C14" s="90"/>
      <c r="D14" s="90"/>
      <c r="E14" s="90">
        <f>'Player Manager'!$S$19</f>
        <v>111</v>
      </c>
      <c r="F14" s="90"/>
      <c r="G14" s="91"/>
      <c r="H14" s="91" t="str">
        <f>IFERROR(VLOOKUP('Player Manager'!$S$21,Races[],4,FALSE),"N/A")</f>
        <v>Small Humanoid</v>
      </c>
      <c r="I14" s="92">
        <f ca="1">'Player Manager'!$S$64</f>
        <v>17</v>
      </c>
      <c r="J14" s="90">
        <f>'Player Manager'!$S$53</f>
        <v>2</v>
      </c>
      <c r="K14" s="92" t="s">
        <v>374</v>
      </c>
      <c r="L14" s="95" t="s">
        <v>374</v>
      </c>
      <c r="M14" s="96" t="s">
        <v>374</v>
      </c>
    </row>
    <row r="15" spans="1:13" x14ac:dyDescent="0.25">
      <c r="A15" s="93" t="str">
        <f>IF(Encounter[[#This Row],[Wound]]&gt;=Encounter[[#This Row],[HP Max]],'Player Manager'!$CM$11 &amp; " (Unconcious)",'Player Manager'!$CM$11)</f>
        <v>Jocasta</v>
      </c>
      <c r="B15" s="92" t="s">
        <v>374</v>
      </c>
      <c r="C15" s="90"/>
      <c r="D15" s="90"/>
      <c r="E15" s="90">
        <f>'Player Manager'!$CM$19</f>
        <v>34</v>
      </c>
      <c r="F15" s="90"/>
      <c r="G15" s="91"/>
      <c r="H15" s="91" t="str">
        <f>IFERROR(VLOOKUP('Player Manager'!$CM$21,Races[],4,FALSE),"N/A")</f>
        <v>Medium Humanoid</v>
      </c>
      <c r="I15" s="92">
        <f ca="1">'Player Manager'!$CM$64</f>
        <v>14</v>
      </c>
      <c r="J15" s="90">
        <f>'Player Manager'!$CM$53</f>
        <v>2</v>
      </c>
      <c r="K15" s="92" t="s">
        <v>374</v>
      </c>
      <c r="L15" s="95" t="s">
        <v>374</v>
      </c>
      <c r="M15" s="96" t="s">
        <v>374</v>
      </c>
    </row>
    <row r="16" spans="1:13" ht="15.75" thickBot="1" x14ac:dyDescent="0.3">
      <c r="A16" s="93" t="str">
        <f>IF(Encounter[[#This Row],[Wound]]&gt;=Encounter[[#This Row],[HP Max]],'Player Manager'!$AB$11 &amp; " (Unconcious)",'Player Manager'!$AB$11)</f>
        <v>Capt.</v>
      </c>
      <c r="B16" s="92" t="s">
        <v>374</v>
      </c>
      <c r="C16" s="90"/>
      <c r="D16" s="90"/>
      <c r="E16" s="90">
        <f>'Player Manager'!$AB$19</f>
        <v>45</v>
      </c>
      <c r="F16" s="90"/>
      <c r="G16" s="91"/>
      <c r="H16" s="91" t="str">
        <f>IFERROR(VLOOKUP('Player Manager'!$AB$21,Races[],4,FALSE),"N/A")</f>
        <v>Medium Humanoid</v>
      </c>
      <c r="I16" s="92">
        <f ca="1">'Player Manager'!$AB$64</f>
        <v>17</v>
      </c>
      <c r="J16" s="90">
        <f>'Player Manager'!$AB$53</f>
        <v>1</v>
      </c>
      <c r="K16" s="92" t="s">
        <v>374</v>
      </c>
      <c r="L16" s="95" t="s">
        <v>374</v>
      </c>
      <c r="M16" s="96" t="s">
        <v>374</v>
      </c>
    </row>
    <row r="17" spans="1:18" x14ac:dyDescent="0.25">
      <c r="A17" s="93" t="str">
        <f>IF(Encounter[[#This Row],[Wound]]&gt;=Encounter[[#This Row],[HP Max]],'Player Manager'!$CD$11 &amp; " (Unconcious)",'Player Manager'!$CD$11)</f>
        <v>Irridin</v>
      </c>
      <c r="B17" s="92" t="s">
        <v>374</v>
      </c>
      <c r="C17" s="90"/>
      <c r="D17" s="90"/>
      <c r="E17" s="90">
        <f>'Player Manager'!$CD$19</f>
        <v>55</v>
      </c>
      <c r="F17" s="90"/>
      <c r="G17" s="91"/>
      <c r="H17" s="91" t="str">
        <f>IFERROR(VLOOKUP('Player Manager'!$CD$21,Races[],4,FALSE),"N/A")</f>
        <v>Medium Humanoid</v>
      </c>
      <c r="I17" s="92">
        <f ca="1">'Player Manager'!$CD$64</f>
        <v>10</v>
      </c>
      <c r="J17" s="90">
        <f>'Player Manager'!$CD$53</f>
        <v>1</v>
      </c>
      <c r="K17" s="92" t="s">
        <v>374</v>
      </c>
      <c r="L17" s="95" t="s">
        <v>374</v>
      </c>
      <c r="M17" s="96" t="s">
        <v>374</v>
      </c>
      <c r="O17" s="209" t="s">
        <v>820</v>
      </c>
      <c r="P17" s="210"/>
      <c r="Q17" s="210"/>
      <c r="R17" s="211"/>
    </row>
    <row r="18" spans="1:18" x14ac:dyDescent="0.25">
      <c r="A18" s="93" t="str">
        <f>IF(Encounter[[#This Row],[Wound]]&gt;=Encounter[[#This Row],[HP Max]],'Player Manager'!$J$11 &amp; " (Unconcious)",'Player Manager'!$J$11)</f>
        <v>Adel</v>
      </c>
      <c r="B18" s="92" t="s">
        <v>374</v>
      </c>
      <c r="C18" s="90"/>
      <c r="D18" s="90"/>
      <c r="E18" s="90">
        <f>'Player Manager'!$J$19</f>
        <v>32</v>
      </c>
      <c r="F18" s="90"/>
      <c r="G18" s="91"/>
      <c r="H18" s="91" t="str">
        <f>IFERROR(VLOOKUP('Player Manager'!$J$21,Races[],4,FALSE),"N/A")</f>
        <v>Medium Fey</v>
      </c>
      <c r="I18" s="92">
        <f ca="1">'Player Manager'!$J$64</f>
        <v>10</v>
      </c>
      <c r="J18" s="90">
        <f>'Player Manager'!$J$53</f>
        <v>0</v>
      </c>
      <c r="K18" s="92" t="s">
        <v>374</v>
      </c>
      <c r="L18" s="95" t="s">
        <v>374</v>
      </c>
      <c r="M18" s="96" t="s">
        <v>374</v>
      </c>
      <c r="O18" s="200" t="s">
        <v>375</v>
      </c>
      <c r="P18" s="201"/>
      <c r="Q18" s="201"/>
      <c r="R18" s="87" t="b">
        <v>0</v>
      </c>
    </row>
    <row r="19" spans="1:18" x14ac:dyDescent="0.25">
      <c r="O19" s="200" t="s">
        <v>376</v>
      </c>
      <c r="P19" s="201"/>
      <c r="Q19" s="201"/>
      <c r="R19" s="87" t="b">
        <v>1</v>
      </c>
    </row>
    <row r="20" spans="1:18" x14ac:dyDescent="0.25">
      <c r="O20" s="200" t="s">
        <v>377</v>
      </c>
      <c r="P20" s="201"/>
      <c r="Q20" s="201"/>
      <c r="R20" s="87" t="b">
        <v>0</v>
      </c>
    </row>
    <row r="21" spans="1:18" ht="15.75" thickBot="1" x14ac:dyDescent="0.3">
      <c r="O21" s="198" t="s">
        <v>821</v>
      </c>
      <c r="P21" s="199"/>
      <c r="Q21" s="199"/>
      <c r="R21" s="86" t="b">
        <v>1</v>
      </c>
    </row>
  </sheetData>
  <mergeCells count="11">
    <mergeCell ref="O21:Q21"/>
    <mergeCell ref="O20:Q20"/>
    <mergeCell ref="O18:Q18"/>
    <mergeCell ref="A1:A2"/>
    <mergeCell ref="B2:C2"/>
    <mergeCell ref="E1:E2"/>
    <mergeCell ref="F1:F2"/>
    <mergeCell ref="O19:Q19"/>
    <mergeCell ref="G1:G2"/>
    <mergeCell ref="H1:H2"/>
    <mergeCell ref="O17:R17"/>
  </mergeCells>
  <conditionalFormatting sqref="F5:F18">
    <cfRule type="cellIs" dxfId="37" priority="4" stopIfTrue="1" operator="greaterThanOrEqual">
      <formula>$E5*0.95</formula>
    </cfRule>
    <cfRule type="cellIs" dxfId="36" priority="5" stopIfTrue="1" operator="greaterThanOrEqual">
      <formula>$E5*0.75</formula>
    </cfRule>
    <cfRule type="cellIs" dxfId="35" priority="485" stopIfTrue="1" operator="greaterThanOrEqual">
      <formula>$E5*0.5</formula>
    </cfRule>
  </conditionalFormatting>
  <conditionalFormatting sqref="A5:M18">
    <cfRule type="expression" dxfId="34" priority="3" stopIfTrue="1">
      <formula>$F5&gt;=$E5</formula>
    </cfRule>
  </conditionalFormatting>
  <conditionalFormatting sqref="A5:A18">
    <cfRule type="expression" dxfId="33" priority="1">
      <formula>$B5="-"</formula>
    </cfRule>
  </conditionalFormatting>
  <dataValidations count="6">
    <dataValidation type="list" showInputMessage="1" showErrorMessage="1" errorTitle="Error" error="Please enter a value of either true or false." promptTitle="Info" prompt="If TRUE creature HP will be rolled when the encounter is readied." sqref="R21" xr:uid="{00000000-0002-0000-0300-000000000000}">
      <formula1>"TRUE,FALSE"</formula1>
    </dataValidation>
    <dataValidation type="list" allowBlank="1" sqref="G5:G18" xr:uid="{00000000-0002-0000-0300-000001000000}">
      <formula1>INDIRECT("Conditions[Condition]")</formula1>
    </dataValidation>
    <dataValidation type="list" allowBlank="1" showErrorMessage="1" errorTitle="Error" error="Please select either a check or clear the cell." sqref="D5:D18" xr:uid="{00000000-0002-0000-0300-000002000000}">
      <formula1>INDIRECT("YesNo")</formula1>
    </dataValidation>
    <dataValidation type="list" showInputMessage="1" showErrorMessage="1" errorTitle="Error" error="Please enter a value of either true or false." promptTitle="Info" prompt="If TRUE EXP will be awarded based on the weighted value which is normally only used for calculating difficulty when fighting multiple enemies." sqref="R18" xr:uid="{F85E9747-A7C5-4839-B61B-585598A18293}">
      <formula1>"TRUE,FALSE"</formula1>
    </dataValidation>
    <dataValidation type="list" showInputMessage="1" showErrorMessage="1" errorTitle="Error" error="Please enter a value of either true or false." promptTitle="Info" prompt="If TRUE NPC initiative will be rolled when the encounter is readied." sqref="R19" xr:uid="{F3D5012E-BD0E-4614-A9F7-047804E19CA1}">
      <formula1>"TRUE,FALSE"</formula1>
    </dataValidation>
    <dataValidation type="list" showInputMessage="1" showErrorMessage="1" errorTitle="Error" error="Please enter a value of either true or false." promptTitle="Input" prompt="If TRUE player initiative will be rolled during encounter readying." sqref="R20" xr:uid="{933893CE-EBDD-4048-B2A2-6C79152F2FDE}">
      <formula1>"TRUE,FALSE"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ConditionButton">
                <anchor moveWithCells="1" sizeWithCells="1">
                  <from>
                    <xdr:col>6</xdr:col>
                    <xdr:colOff>704850</xdr:colOff>
                    <xdr:row>3</xdr:row>
                    <xdr:rowOff>9525</xdr:rowOff>
                  </from>
                  <to>
                    <xdr:col>7</xdr:col>
                    <xdr:colOff>0</xdr:colOff>
                    <xdr:row>3</xdr:row>
                    <xdr:rowOff>180975</xdr:rowOff>
                  </to>
                </anchor>
              </controlPr>
            </control>
          </mc:Choice>
        </mc:AlternateContent>
        <mc:AlternateContent xmlns:mc="http://schemas.openxmlformats.org/markup-compatibility/2006">
          <mc:Choice Requires="x14">
            <control shapeId="19461" r:id="rId5" name="Button 5">
              <controlPr defaultSize="0" print="0" autoFill="0" autoPict="0" macro="[0]!EncounterExp">
                <anchor moveWithCells="1" sizeWithCells="1">
                  <from>
                    <xdr:col>3</xdr:col>
                    <xdr:colOff>0</xdr:colOff>
                    <xdr:row>1</xdr:row>
                    <xdr:rowOff>19050</xdr:rowOff>
                  </from>
                  <to>
                    <xdr:col>4</xdr:col>
                    <xdr:colOff>0</xdr:colOff>
                    <xdr:row>1</xdr:row>
                    <xdr:rowOff>180975</xdr:rowOff>
                  </to>
                </anchor>
              </controlPr>
            </control>
          </mc:Choice>
        </mc:AlternateContent>
        <mc:AlternateContent xmlns:mc="http://schemas.openxmlformats.org/markup-compatibility/2006">
          <mc:Choice Requires="x14">
            <control shapeId="19462" r:id="rId6" name="Button 6">
              <controlPr defaultSize="0" print="0" autoFill="0" autoPict="0" macro="[0]!AddCreature">
                <anchor moveWithCells="1" sizeWithCells="1">
                  <from>
                    <xdr:col>6</xdr:col>
                    <xdr:colOff>9525</xdr:colOff>
                    <xdr:row>1</xdr:row>
                    <xdr:rowOff>0</xdr:rowOff>
                  </from>
                  <to>
                    <xdr:col>7</xdr:col>
                    <xdr:colOff>0</xdr:colOff>
                    <xdr:row>1</xdr:row>
                    <xdr:rowOff>190500</xdr:rowOff>
                  </to>
                </anchor>
              </controlPr>
            </control>
          </mc:Choice>
        </mc:AlternateContent>
        <mc:AlternateContent xmlns:mc="http://schemas.openxmlformats.org/markup-compatibility/2006">
          <mc:Choice Requires="x14">
            <control shapeId="19463" r:id="rId7" name="Button 7">
              <controlPr defaultSize="0" print="0" autoFill="0" autoPict="0" macro="[0]!LoadLootGenerator">
                <anchor moveWithCells="1" sizeWithCells="1">
                  <from>
                    <xdr:col>6</xdr:col>
                    <xdr:colOff>9525</xdr:colOff>
                    <xdr:row>0</xdr:row>
                    <xdr:rowOff>0</xdr:rowOff>
                  </from>
                  <to>
                    <xdr:col>7</xdr:col>
                    <xdr:colOff>0</xdr:colOff>
                    <xdr:row>0</xdr:row>
                    <xdr:rowOff>180975</xdr:rowOff>
                  </to>
                </anchor>
              </controlPr>
            </control>
          </mc:Choice>
        </mc:AlternateContent>
        <mc:AlternateContent xmlns:mc="http://schemas.openxmlformats.org/markup-compatibility/2006">
          <mc:Choice Requires="x14">
            <control shapeId="19465" r:id="rId8" name="Button 9">
              <controlPr defaultSize="0" print="0" autoFill="0" autoPict="0" macro="[0]!SortInitiatives">
                <anchor moveWithCells="1" sizeWithCells="1">
                  <from>
                    <xdr:col>5</xdr:col>
                    <xdr:colOff>9525</xdr:colOff>
                    <xdr:row>0</xdr:row>
                    <xdr:rowOff>0</xdr:rowOff>
                  </from>
                  <to>
                    <xdr:col>6</xdr:col>
                    <xdr:colOff>0</xdr:colOff>
                    <xdr:row>1</xdr:row>
                    <xdr:rowOff>190500</xdr:rowOff>
                  </to>
                </anchor>
              </controlPr>
            </control>
          </mc:Choice>
        </mc:AlternateContent>
        <mc:AlternateContent xmlns:mc="http://schemas.openxmlformats.org/markup-compatibility/2006">
          <mc:Choice Requires="x14">
            <control shapeId="19470" r:id="rId9" name="Button 14">
              <controlPr defaultSize="0" print="0" autoFill="0" autoPict="0" macro="[0]!LongRest">
                <anchor moveWithCells="1" sizeWithCells="1">
                  <from>
                    <xdr:col>4</xdr:col>
                    <xdr:colOff>9525</xdr:colOff>
                    <xdr:row>0</xdr:row>
                    <xdr:rowOff>0</xdr:rowOff>
                  </from>
                  <to>
                    <xdr:col>5</xdr:col>
                    <xdr:colOff>0</xdr:colOff>
                    <xdr:row>1</xdr:row>
                    <xdr:rowOff>190500</xdr:rowOff>
                  </to>
                </anchor>
              </controlPr>
            </control>
          </mc:Choice>
        </mc:AlternateContent>
        <mc:AlternateContent xmlns:mc="http://schemas.openxmlformats.org/markup-compatibility/2006">
          <mc:Choice Requires="x14">
            <control shapeId="19471" r:id="rId10" name="Button 15">
              <controlPr defaultSize="0" print="0" autoFill="0" autoPict="0" macro="[0]!ClearDefeatedEnemies">
                <anchor moveWithCells="1" sizeWithCells="1">
                  <from>
                    <xdr:col>7</xdr:col>
                    <xdr:colOff>9525</xdr:colOff>
                    <xdr:row>0</xdr:row>
                    <xdr:rowOff>0</xdr:rowOff>
                  </from>
                  <to>
                    <xdr:col>8</xdr:col>
                    <xdr:colOff>0</xdr:colOff>
                    <xdr:row>1</xdr:row>
                    <xdr:rowOff>190500</xdr:rowOff>
                  </to>
                </anchor>
              </controlPr>
            </control>
          </mc:Choice>
        </mc:AlternateContent>
      </controls>
    </mc:Choice>
  </mc:AlternateContent>
  <tableParts count="1">
    <tablePart r:id="rId11"/>
  </tableParts>
  <extLst>
    <ext xmlns:x14="http://schemas.microsoft.com/office/spreadsheetml/2009/9/main" uri="{78C0D931-6437-407d-A8EE-F0AAD7539E65}">
      <x14:conditionalFormattings>
        <x14:conditionalFormatting xmlns:xm="http://schemas.microsoft.com/office/excel/2006/main">
          <x14:cfRule type="colorScale" priority="11" id="{6B8CEBFF-0AB4-4F09-A491-EFDD8B1D602F}">
            <x14:colorScale>
              <x14:cfvo type="formula">
                <xm:f>'Encounter Builder'!$U$3</xm:f>
              </x14:cfvo>
              <x14:cfvo type="percent">
                <xm:f>50</xm:f>
              </x14:cfvo>
              <x14:cfvo type="formula">
                <xm:f>'Encounter Builder'!$AD$3</xm:f>
              </x14:cfvo>
              <x14:color rgb="FF63BE7B"/>
              <x14:color rgb="FFFFEB84"/>
              <x14:color rgb="FFF8696B"/>
            </x14:colorScale>
          </x14:cfRule>
          <xm:sqref>B1</xm:sqref>
        </x14:conditionalFormatting>
        <x14:conditionalFormatting xmlns:xm="http://schemas.microsoft.com/office/excel/2006/main">
          <x14:cfRule type="colorScale" priority="10" id="{80DEA1F2-53F8-426B-9D50-42F32AB9D62A}">
            <x14:colorScale>
              <x14:cfvo type="formula">
                <xm:f>'Encounter Builder'!$U$3</xm:f>
              </x14:cfvo>
              <x14:cfvo type="percent">
                <xm:f>50</xm:f>
              </x14:cfvo>
              <x14:cfvo type="formula">
                <xm:f>'Encounter Builder'!$AD$3</xm:f>
              </x14:cfvo>
              <x14:color rgb="FF63BE7B"/>
              <x14:color rgb="FFFFEB84"/>
              <x14:color rgb="FFF8696B"/>
            </x14:colorScale>
          </x14:cfRule>
          <xm:sqref>C1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5A362F"/>
  </sheetPr>
  <dimension ref="A1:CS48"/>
  <sheetViews>
    <sheetView showGridLines="0" showRowColHeaders="0" zoomScaleNormal="100" workbookViewId="0">
      <selection activeCell="A14" sqref="A14:G15"/>
    </sheetView>
  </sheetViews>
  <sheetFormatPr defaultColWidth="2.85546875" defaultRowHeight="15" customHeight="1" x14ac:dyDescent="0.25"/>
  <cols>
    <col min="1" max="31" width="2.85546875" style="29"/>
    <col min="32" max="32" width="2.85546875" style="29" customWidth="1"/>
    <col min="33" max="34" width="2.85546875" style="29"/>
    <col min="35" max="35" width="2.85546875" style="29" customWidth="1"/>
    <col min="36" max="16384" width="2.85546875" style="29"/>
  </cols>
  <sheetData>
    <row r="1" spans="1:97" ht="15" customHeight="1" x14ac:dyDescent="0.25">
      <c r="H1" s="264" t="s">
        <v>378</v>
      </c>
      <c r="I1" s="265"/>
      <c r="J1" s="265"/>
      <c r="K1" s="265"/>
      <c r="L1" s="265"/>
      <c r="M1" s="265"/>
      <c r="N1" s="265"/>
      <c r="O1" s="265"/>
      <c r="P1" s="265"/>
      <c r="Q1" s="265"/>
      <c r="R1" s="265"/>
      <c r="S1" s="266"/>
      <c r="T1" s="33"/>
      <c r="U1" s="264" t="s">
        <v>379</v>
      </c>
      <c r="V1" s="265"/>
      <c r="W1" s="265"/>
      <c r="X1" s="265"/>
      <c r="Y1" s="265"/>
      <c r="Z1" s="265"/>
      <c r="AA1" s="265"/>
      <c r="AB1" s="265"/>
      <c r="AC1" s="265"/>
      <c r="AD1" s="265"/>
      <c r="AE1" s="265"/>
      <c r="AF1" s="266"/>
    </row>
    <row r="2" spans="1:97" ht="15" customHeight="1" thickBot="1" x14ac:dyDescent="0.3">
      <c r="A2" s="99" t="s">
        <v>47</v>
      </c>
      <c r="B2" s="35"/>
      <c r="C2" s="98"/>
      <c r="D2" s="98"/>
      <c r="E2" s="98"/>
      <c r="F2" s="296" t="s">
        <v>13</v>
      </c>
      <c r="G2" s="296"/>
      <c r="H2" s="283" t="s">
        <v>14</v>
      </c>
      <c r="I2" s="283"/>
      <c r="J2" s="283"/>
      <c r="K2" s="283" t="s">
        <v>15</v>
      </c>
      <c r="L2" s="283"/>
      <c r="M2" s="283"/>
      <c r="N2" s="283" t="s">
        <v>16</v>
      </c>
      <c r="O2" s="283"/>
      <c r="P2" s="283"/>
      <c r="Q2" s="268" t="s">
        <v>17</v>
      </c>
      <c r="R2" s="268"/>
      <c r="S2" s="269"/>
      <c r="U2" s="267" t="s">
        <v>14</v>
      </c>
      <c r="V2" s="268"/>
      <c r="W2" s="268"/>
      <c r="X2" s="268" t="s">
        <v>15</v>
      </c>
      <c r="Y2" s="268"/>
      <c r="Z2" s="268"/>
      <c r="AA2" s="268" t="s">
        <v>16</v>
      </c>
      <c r="AB2" s="268"/>
      <c r="AC2" s="268"/>
      <c r="AD2" s="268" t="s">
        <v>17</v>
      </c>
      <c r="AE2" s="268"/>
      <c r="AF2" s="269"/>
    </row>
    <row r="3" spans="1:97" ht="15" customHeight="1" thickBot="1" x14ac:dyDescent="0.3">
      <c r="A3" s="299" t="str">
        <f>IF('Player Manager'!J13="","",'Player Manager'!J11)</f>
        <v>Adel</v>
      </c>
      <c r="B3" s="300"/>
      <c r="C3" s="300"/>
      <c r="D3" s="300"/>
      <c r="E3" s="300"/>
      <c r="F3" s="297">
        <f ca="1">IF(A3="","",'Player Manager'!J15)</f>
        <v>5</v>
      </c>
      <c r="G3" s="298"/>
      <c r="H3" s="284">
        <f ca="1">IFERROR(VLOOKUP($F$3,EXPThresholds[],2,FALSE),"")</f>
        <v>250</v>
      </c>
      <c r="I3" s="284"/>
      <c r="J3" s="285"/>
      <c r="K3" s="286">
        <f ca="1">IFERROR(VLOOKUP($F$3,EXPThresholds[],3,FALSE),"")</f>
        <v>500</v>
      </c>
      <c r="L3" s="284"/>
      <c r="M3" s="285"/>
      <c r="N3" s="286">
        <f ca="1">IFERROR(VLOOKUP($F$3,EXPThresholds[],4,FALSE),"")</f>
        <v>750</v>
      </c>
      <c r="O3" s="284"/>
      <c r="P3" s="285"/>
      <c r="Q3" s="284">
        <f ca="1">IFERROR(VLOOKUP($F$3,EXPThresholds[],5,FALSE),"")</f>
        <v>1100</v>
      </c>
      <c r="R3" s="284"/>
      <c r="S3" s="287"/>
      <c r="U3" s="270">
        <f ca="1">IF(SUM(H3:J12)="","",SUM(H3:J12))</f>
        <v>3225</v>
      </c>
      <c r="V3" s="271"/>
      <c r="W3" s="272"/>
      <c r="X3" s="273">
        <f ca="1">IF(SUM(K3:M12)="","",SUM(K3:M12))</f>
        <v>6450</v>
      </c>
      <c r="Y3" s="271"/>
      <c r="Z3" s="272"/>
      <c r="AA3" s="273">
        <f ca="1">IF(SUM(N3:P12)="","",SUM(N3:P12))</f>
        <v>9875</v>
      </c>
      <c r="AB3" s="271"/>
      <c r="AC3" s="272"/>
      <c r="AD3" s="271">
        <f ca="1">IF(SUM(Q3:S12)="","",SUM(Q3:S12))</f>
        <v>14700</v>
      </c>
      <c r="AE3" s="271"/>
      <c r="AF3" s="274"/>
    </row>
    <row r="4" spans="1:97" ht="15" customHeight="1" thickBot="1" x14ac:dyDescent="0.3">
      <c r="A4" s="292" t="str">
        <f>IF('Player Manager'!S13="","",'Player Manager'!S11)</f>
        <v>Broug</v>
      </c>
      <c r="B4" s="293"/>
      <c r="C4" s="293"/>
      <c r="D4" s="293"/>
      <c r="E4" s="293"/>
      <c r="F4" s="288">
        <f ca="1">IF(A4="","",'Player Manager'!S15)</f>
        <v>1</v>
      </c>
      <c r="G4" s="289"/>
      <c r="H4" s="275">
        <f ca="1">IFERROR(VLOOKUP($F4,EXPThresholds[],2,FALSE),"")</f>
        <v>25</v>
      </c>
      <c r="I4" s="275"/>
      <c r="J4" s="276"/>
      <c r="K4" s="277">
        <f ca="1">IFERROR(VLOOKUP($F4,EXPThresholds[],3,FALSE),"")</f>
        <v>50</v>
      </c>
      <c r="L4" s="275"/>
      <c r="M4" s="276"/>
      <c r="N4" s="277">
        <f ca="1">IFERROR(VLOOKUP($F4,EXPThresholds[],4,FALSE),"")</f>
        <v>75</v>
      </c>
      <c r="O4" s="275"/>
      <c r="P4" s="276"/>
      <c r="Q4" s="275">
        <f ca="1">IFERROR(VLOOKUP($F4,EXPThresholds[],5,FALSE),"")</f>
        <v>100</v>
      </c>
      <c r="R4" s="275"/>
      <c r="S4" s="278"/>
    </row>
    <row r="5" spans="1:97" ht="15" customHeight="1" x14ac:dyDescent="0.25">
      <c r="A5" s="292" t="str">
        <f>IF('Player Manager'!AB13="","",'Player Manager'!AB11)</f>
        <v>Capt.</v>
      </c>
      <c r="B5" s="293"/>
      <c r="C5" s="293"/>
      <c r="D5" s="293"/>
      <c r="E5" s="293"/>
      <c r="F5" s="288">
        <f ca="1">IF(A5="","",'Player Manager'!AB15)</f>
        <v>3</v>
      </c>
      <c r="G5" s="289"/>
      <c r="H5" s="275">
        <f ca="1">IFERROR(VLOOKUP($F5,EXPThresholds[],2,FALSE),"")</f>
        <v>75</v>
      </c>
      <c r="I5" s="275"/>
      <c r="J5" s="276"/>
      <c r="K5" s="277">
        <f ca="1">IFERROR(VLOOKUP($F5,EXPThresholds[],3,FALSE),"")</f>
        <v>150</v>
      </c>
      <c r="L5" s="275"/>
      <c r="M5" s="276"/>
      <c r="N5" s="277">
        <f ca="1">IFERROR(VLOOKUP($F5,EXPThresholds[],4,FALSE),"")</f>
        <v>225</v>
      </c>
      <c r="O5" s="275"/>
      <c r="P5" s="276"/>
      <c r="Q5" s="275">
        <f ca="1">IFERROR(VLOOKUP($F5,EXPThresholds[],5,FALSE),"")</f>
        <v>400</v>
      </c>
      <c r="R5" s="275"/>
      <c r="S5" s="278"/>
      <c r="U5" s="40"/>
      <c r="V5" s="41"/>
      <c r="W5" s="41"/>
      <c r="X5" s="41"/>
      <c r="Y5" s="41"/>
      <c r="Z5" s="41"/>
      <c r="AA5" s="41"/>
      <c r="AB5" s="41"/>
      <c r="AC5" s="41"/>
      <c r="AD5" s="41"/>
      <c r="AE5" s="41"/>
      <c r="AF5" s="42"/>
    </row>
    <row r="6" spans="1:97" ht="15" customHeight="1" x14ac:dyDescent="0.25">
      <c r="A6" s="292" t="str">
        <f>IF('Player Manager'!AK13="","",'Player Manager'!AK11)</f>
        <v>Dagga</v>
      </c>
      <c r="B6" s="293"/>
      <c r="C6" s="293"/>
      <c r="D6" s="293"/>
      <c r="E6" s="293"/>
      <c r="F6" s="288">
        <f ca="1">IF(A6="","",'Player Manager'!AK15)</f>
        <v>11</v>
      </c>
      <c r="G6" s="289"/>
      <c r="H6" s="275">
        <f ca="1">IFERROR(VLOOKUP($F6,EXPThresholds[],2,FALSE),"")</f>
        <v>800</v>
      </c>
      <c r="I6" s="275"/>
      <c r="J6" s="276"/>
      <c r="K6" s="277">
        <f ca="1">IFERROR(VLOOKUP($F6,EXPThresholds[],3,FALSE),"")</f>
        <v>1600</v>
      </c>
      <c r="L6" s="275"/>
      <c r="M6" s="276"/>
      <c r="N6" s="277">
        <f ca="1">IFERROR(VLOOKUP($F6,EXPThresholds[],4,FALSE),"")</f>
        <v>2400</v>
      </c>
      <c r="O6" s="275"/>
      <c r="P6" s="276"/>
      <c r="Q6" s="275">
        <f ca="1">IFERROR(VLOOKUP($F6,EXPThresholds[],5,FALSE),"")</f>
        <v>3600</v>
      </c>
      <c r="R6" s="275"/>
      <c r="S6" s="278"/>
      <c r="U6" s="45"/>
      <c r="V6" s="10"/>
      <c r="W6" s="10"/>
      <c r="X6" s="10"/>
      <c r="Y6" s="10"/>
      <c r="Z6" s="10"/>
      <c r="AA6" s="10"/>
      <c r="AB6" s="10"/>
      <c r="AC6" s="10"/>
      <c r="AD6" s="10"/>
      <c r="AE6" s="10"/>
      <c r="AF6" s="46"/>
    </row>
    <row r="7" spans="1:97" ht="15" customHeight="1" x14ac:dyDescent="0.25">
      <c r="A7" s="292" t="str">
        <f>IF('Player Manager'!AT13="","",'Player Manager'!AT11)</f>
        <v>Ed</v>
      </c>
      <c r="B7" s="293"/>
      <c r="C7" s="293"/>
      <c r="D7" s="293"/>
      <c r="E7" s="293"/>
      <c r="F7" s="288">
        <f ca="1">IF(A7="","",'Player Manager'!AT15)</f>
        <v>13</v>
      </c>
      <c r="G7" s="289"/>
      <c r="H7" s="275">
        <f ca="1">IFERROR(VLOOKUP($F7,EXPThresholds[],2,FALSE),"")</f>
        <v>1100</v>
      </c>
      <c r="I7" s="275"/>
      <c r="J7" s="276"/>
      <c r="K7" s="277">
        <f ca="1">IFERROR(VLOOKUP($F7,EXPThresholds[],3,FALSE),"")</f>
        <v>2200</v>
      </c>
      <c r="L7" s="275"/>
      <c r="M7" s="276"/>
      <c r="N7" s="277">
        <f ca="1">IFERROR(VLOOKUP($F7,EXPThresholds[],4,FALSE),"")</f>
        <v>3400</v>
      </c>
      <c r="O7" s="275"/>
      <c r="P7" s="276"/>
      <c r="Q7" s="275">
        <f ca="1">IFERROR(VLOOKUP($F7,EXPThresholds[],5,FALSE),"")</f>
        <v>5100</v>
      </c>
      <c r="R7" s="275"/>
      <c r="S7" s="278"/>
      <c r="U7" s="45"/>
      <c r="V7" s="10"/>
      <c r="W7" s="10"/>
      <c r="X7" s="10"/>
      <c r="Y7" s="10"/>
      <c r="Z7" s="10"/>
      <c r="AA7" s="10"/>
      <c r="AB7" s="10"/>
      <c r="AC7" s="10"/>
      <c r="AD7" s="10"/>
      <c r="AE7" s="10"/>
      <c r="AF7" s="46"/>
    </row>
    <row r="8" spans="1:97" ht="15" customHeight="1" x14ac:dyDescent="0.25">
      <c r="A8" s="292" t="str">
        <f>IF('Player Manager'!BC13="","",'Player Manager'!BC11)</f>
        <v/>
      </c>
      <c r="B8" s="293"/>
      <c r="C8" s="293"/>
      <c r="D8" s="293"/>
      <c r="E8" s="293"/>
      <c r="F8" s="288" t="str">
        <f>IF(A8="","",'Player Manager'!BC15)</f>
        <v/>
      </c>
      <c r="G8" s="289"/>
      <c r="H8" s="275" t="str">
        <f>IFERROR(VLOOKUP($F8,EXPThresholds[],2,FALSE),"")</f>
        <v/>
      </c>
      <c r="I8" s="275"/>
      <c r="J8" s="276"/>
      <c r="K8" s="277" t="str">
        <f>IFERROR(VLOOKUP($F8,EXPThresholds[],3,FALSE),"")</f>
        <v/>
      </c>
      <c r="L8" s="275"/>
      <c r="M8" s="276"/>
      <c r="N8" s="277" t="str">
        <f>IFERROR(VLOOKUP($F8,EXPThresholds[],4,FALSE),"")</f>
        <v/>
      </c>
      <c r="O8" s="275"/>
      <c r="P8" s="276"/>
      <c r="Q8" s="275" t="str">
        <f>IFERROR(VLOOKUP($F8,EXPThresholds[],5,FALSE),"")</f>
        <v/>
      </c>
      <c r="R8" s="275"/>
      <c r="S8" s="278"/>
      <c r="U8" s="45"/>
      <c r="V8" s="10"/>
      <c r="W8" s="10"/>
      <c r="X8" s="10"/>
      <c r="Y8" s="10"/>
      <c r="Z8" s="10"/>
      <c r="AA8" s="10"/>
      <c r="AB8" s="10"/>
      <c r="AC8" s="10"/>
      <c r="AD8" s="10"/>
      <c r="AE8" s="10"/>
      <c r="AF8" s="46"/>
    </row>
    <row r="9" spans="1:97" ht="15" customHeight="1" x14ac:dyDescent="0.25">
      <c r="A9" s="292" t="str">
        <f>IF('Player Manager'!BL13="","",'Player Manager'!BL11)</f>
        <v>Gaffa</v>
      </c>
      <c r="B9" s="293"/>
      <c r="C9" s="293"/>
      <c r="D9" s="293"/>
      <c r="E9" s="293"/>
      <c r="F9" s="288">
        <f ca="1">IF(A9="","",'Player Manager'!BL15)</f>
        <v>5</v>
      </c>
      <c r="G9" s="289"/>
      <c r="H9" s="275">
        <f ca="1">IFERROR(VLOOKUP($F9,EXPThresholds[],2,FALSE),"")</f>
        <v>250</v>
      </c>
      <c r="I9" s="275"/>
      <c r="J9" s="276"/>
      <c r="K9" s="277">
        <f ca="1">IFERROR(VLOOKUP($F9,EXPThresholds[],3,FALSE),"")</f>
        <v>500</v>
      </c>
      <c r="L9" s="275"/>
      <c r="M9" s="276"/>
      <c r="N9" s="277">
        <f ca="1">IFERROR(VLOOKUP($F9,EXPThresholds[],4,FALSE),"")</f>
        <v>750</v>
      </c>
      <c r="O9" s="275"/>
      <c r="P9" s="276"/>
      <c r="Q9" s="275">
        <f ca="1">IFERROR(VLOOKUP($F9,EXPThresholds[],5,FALSE),"")</f>
        <v>1100</v>
      </c>
      <c r="R9" s="275"/>
      <c r="S9" s="278"/>
      <c r="U9" s="45"/>
      <c r="V9" s="10"/>
      <c r="W9" s="10"/>
      <c r="X9" s="10"/>
      <c r="Y9" s="10"/>
      <c r="Z9" s="10"/>
      <c r="AA9" s="10"/>
      <c r="AB9" s="10"/>
      <c r="AC9" s="10"/>
      <c r="AD9" s="10"/>
      <c r="AE9" s="10"/>
      <c r="AF9" s="46"/>
    </row>
    <row r="10" spans="1:97" ht="15" customHeight="1" x14ac:dyDescent="0.25">
      <c r="A10" s="292" t="str">
        <f>IF('Player Manager'!BU13="","",'Player Manager'!BU11)</f>
        <v/>
      </c>
      <c r="B10" s="293"/>
      <c r="C10" s="293"/>
      <c r="D10" s="293"/>
      <c r="E10" s="293"/>
      <c r="F10" s="288" t="str">
        <f>IF(A10="","",'Player Manager'!BL15)</f>
        <v/>
      </c>
      <c r="G10" s="289"/>
      <c r="H10" s="275" t="str">
        <f>IFERROR(VLOOKUP($F10,EXPThresholds[],2,FALSE),"")</f>
        <v/>
      </c>
      <c r="I10" s="275"/>
      <c r="J10" s="276"/>
      <c r="K10" s="277" t="str">
        <f>IFERROR(VLOOKUP($F10,EXPThresholds[],3,FALSE),"")</f>
        <v/>
      </c>
      <c r="L10" s="275"/>
      <c r="M10" s="276"/>
      <c r="N10" s="277" t="str">
        <f>IFERROR(VLOOKUP($F10,EXPThresholds[],4,FALSE),"")</f>
        <v/>
      </c>
      <c r="O10" s="275"/>
      <c r="P10" s="276"/>
      <c r="Q10" s="275" t="str">
        <f>IFERROR(VLOOKUP($F10,EXPThresholds[],5,FALSE),"")</f>
        <v/>
      </c>
      <c r="R10" s="275"/>
      <c r="S10" s="278"/>
      <c r="U10" s="45"/>
      <c r="V10" s="10"/>
      <c r="W10" s="10"/>
      <c r="X10" s="10"/>
      <c r="Y10" s="10"/>
      <c r="Z10" s="10"/>
      <c r="AA10" s="10"/>
      <c r="AB10" s="10"/>
      <c r="AC10" s="10"/>
      <c r="AD10" s="10"/>
      <c r="AE10" s="10"/>
      <c r="AF10" s="46"/>
    </row>
    <row r="11" spans="1:97" ht="15" customHeight="1" x14ac:dyDescent="0.25">
      <c r="A11" s="292" t="str">
        <f>IF('Player Manager'!CD13="","",'Player Manager'!CD11)</f>
        <v>Irridin</v>
      </c>
      <c r="B11" s="293"/>
      <c r="C11" s="293"/>
      <c r="D11" s="293"/>
      <c r="E11" s="293"/>
      <c r="F11" s="288">
        <f ca="1">IF(A11="","",'Player Manager'!BU15)</f>
        <v>4</v>
      </c>
      <c r="G11" s="289"/>
      <c r="H11" s="275">
        <f ca="1">IFERROR(VLOOKUP($F11,EXPThresholds[],2,FALSE),"")</f>
        <v>125</v>
      </c>
      <c r="I11" s="275"/>
      <c r="J11" s="276"/>
      <c r="K11" s="277">
        <f ca="1">IFERROR(VLOOKUP($F11,EXPThresholds[],3,FALSE),"")</f>
        <v>250</v>
      </c>
      <c r="L11" s="275"/>
      <c r="M11" s="276"/>
      <c r="N11" s="277">
        <f ca="1">IFERROR(VLOOKUP($F11,EXPThresholds[],4,FALSE),"")</f>
        <v>375</v>
      </c>
      <c r="O11" s="275"/>
      <c r="P11" s="276"/>
      <c r="Q11" s="275">
        <f ca="1">IFERROR(VLOOKUP($F11,EXPThresholds[],5,FALSE),"")</f>
        <v>500</v>
      </c>
      <c r="R11" s="275"/>
      <c r="S11" s="278"/>
      <c r="U11" s="45"/>
      <c r="V11" s="10"/>
      <c r="W11" s="10"/>
      <c r="X11" s="10"/>
      <c r="Y11" s="10"/>
      <c r="Z11" s="10"/>
      <c r="AA11" s="10"/>
      <c r="AB11" s="10"/>
      <c r="AC11" s="10"/>
      <c r="AD11" s="10"/>
      <c r="AE11" s="10"/>
      <c r="AF11" s="46"/>
    </row>
    <row r="12" spans="1:97" ht="15" customHeight="1" thickBot="1" x14ac:dyDescent="0.3">
      <c r="A12" s="294" t="str">
        <f>IF('Player Manager'!CM13="","",'Player Manager'!CM11)</f>
        <v>Jocasta</v>
      </c>
      <c r="B12" s="295"/>
      <c r="C12" s="295"/>
      <c r="D12" s="295"/>
      <c r="E12" s="295"/>
      <c r="F12" s="290">
        <f ca="1">IF(A12="","",'Player Manager'!CD15)</f>
        <v>10</v>
      </c>
      <c r="G12" s="291"/>
      <c r="H12" s="279">
        <f ca="1">IFERROR(VLOOKUP($F12,EXPThresholds[],2,FALSE),"")</f>
        <v>600</v>
      </c>
      <c r="I12" s="279"/>
      <c r="J12" s="280"/>
      <c r="K12" s="281">
        <f ca="1">IFERROR(VLOOKUP($F12,EXPThresholds[],3,FALSE),"")</f>
        <v>1200</v>
      </c>
      <c r="L12" s="279"/>
      <c r="M12" s="280"/>
      <c r="N12" s="281">
        <f ca="1">IFERROR(VLOOKUP($F12,EXPThresholds[],4,FALSE),"")</f>
        <v>1900</v>
      </c>
      <c r="O12" s="279"/>
      <c r="P12" s="280"/>
      <c r="Q12" s="279">
        <f ca="1">IFERROR(VLOOKUP($F12,EXPThresholds[],5,FALSE),"")</f>
        <v>2800</v>
      </c>
      <c r="R12" s="279"/>
      <c r="S12" s="282"/>
      <c r="U12" s="43"/>
      <c r="V12" s="13"/>
      <c r="W12" s="13"/>
      <c r="X12" s="13"/>
      <c r="Y12" s="13"/>
      <c r="Z12" s="13"/>
      <c r="AA12" s="13"/>
      <c r="AB12" s="13"/>
      <c r="AC12" s="13"/>
      <c r="AD12" s="13"/>
      <c r="AE12" s="13"/>
      <c r="AF12" s="44"/>
    </row>
    <row r="13" spans="1:97" ht="15" customHeight="1" thickBot="1" x14ac:dyDescent="0.3">
      <c r="A13" s="34"/>
      <c r="B13" s="34"/>
      <c r="C13" s="34"/>
      <c r="D13" s="34"/>
      <c r="E13" s="34"/>
      <c r="F13" s="34"/>
      <c r="G13" s="34"/>
      <c r="H13" s="34"/>
      <c r="I13" s="34"/>
      <c r="J13" s="34"/>
      <c r="K13" s="34"/>
      <c r="L13" s="34"/>
      <c r="M13" s="34"/>
      <c r="N13" s="34"/>
      <c r="O13" s="34"/>
      <c r="P13" s="34"/>
      <c r="Q13" s="34"/>
      <c r="R13" s="34"/>
      <c r="S13" s="34"/>
    </row>
    <row r="14" spans="1:97" ht="15" customHeight="1" thickBot="1" x14ac:dyDescent="0.3">
      <c r="A14" s="253" t="s">
        <v>380</v>
      </c>
      <c r="B14" s="254"/>
      <c r="C14" s="254"/>
      <c r="D14" s="254"/>
      <c r="E14" s="254"/>
      <c r="F14" s="254"/>
      <c r="G14" s="255"/>
      <c r="H14" s="259" t="str">
        <f>IF(SUM(V19:AA48)=0,"-",SUM(V19:AA48))</f>
        <v>-</v>
      </c>
      <c r="I14" s="260"/>
      <c r="J14" s="260"/>
      <c r="K14" s="260"/>
      <c r="L14" s="260"/>
      <c r="M14" s="260"/>
      <c r="N14" s="261" t="str">
        <f>IF(H14="-","-",H14*$M$18)</f>
        <v>-</v>
      </c>
      <c r="O14" s="262"/>
      <c r="P14" s="262"/>
      <c r="Q14" s="262"/>
      <c r="R14" s="262"/>
      <c r="S14" s="263"/>
      <c r="U14" s="40"/>
      <c r="V14" s="41"/>
      <c r="W14" s="41"/>
      <c r="X14" s="41"/>
      <c r="Y14" s="41"/>
      <c r="Z14" s="41"/>
      <c r="AA14" s="41"/>
      <c r="AB14" s="41"/>
      <c r="AC14" s="41"/>
      <c r="AD14" s="41"/>
      <c r="AE14" s="41"/>
      <c r="AF14" s="42"/>
    </row>
    <row r="15" spans="1:97" ht="15" customHeight="1" thickBot="1" x14ac:dyDescent="0.3">
      <c r="A15" s="253" t="s">
        <v>381</v>
      </c>
      <c r="B15" s="254"/>
      <c r="C15" s="254"/>
      <c r="D15" s="254"/>
      <c r="E15" s="254"/>
      <c r="F15" s="254"/>
      <c r="G15" s="255"/>
      <c r="H15" s="256" t="str">
        <f ca="1">IFERROR(INDEX(U2:AF3,1,MATCH(N14,U3:AF3,1)),"Trivial")</f>
        <v>Trivial</v>
      </c>
      <c r="I15" s="257"/>
      <c r="J15" s="257"/>
      <c r="K15" s="257"/>
      <c r="L15" s="257"/>
      <c r="M15" s="257"/>
      <c r="N15" s="257"/>
      <c r="O15" s="257"/>
      <c r="P15" s="257"/>
      <c r="Q15" s="257"/>
      <c r="R15" s="257"/>
      <c r="S15" s="258"/>
      <c r="U15" s="43"/>
      <c r="V15" s="13"/>
      <c r="W15" s="13"/>
      <c r="X15" s="13"/>
      <c r="Y15" s="13"/>
      <c r="Z15" s="13"/>
      <c r="AA15" s="13"/>
      <c r="AB15" s="13"/>
      <c r="AC15" s="13"/>
      <c r="AD15" s="13"/>
      <c r="AE15" s="13"/>
      <c r="AF15" s="44"/>
    </row>
    <row r="16" spans="1:97" ht="15" customHeight="1" thickBot="1" x14ac:dyDescent="0.3">
      <c r="A16" s="32"/>
      <c r="CS16" s="31"/>
    </row>
    <row r="17" spans="1:32" ht="15" customHeight="1" thickBot="1" x14ac:dyDescent="0.3">
      <c r="A17" s="244" t="s">
        <v>365</v>
      </c>
      <c r="B17" s="245"/>
      <c r="C17" s="245"/>
      <c r="D17" s="245"/>
      <c r="E17" s="245"/>
      <c r="F17" s="245"/>
      <c r="G17" s="245"/>
      <c r="H17" s="245"/>
      <c r="I17" s="245"/>
      <c r="J17" s="245"/>
      <c r="K17" s="246" t="s">
        <v>366</v>
      </c>
      <c r="L17" s="247"/>
      <c r="M17" s="250" t="s">
        <v>22</v>
      </c>
      <c r="N17" s="245"/>
      <c r="O17" s="247"/>
      <c r="P17" s="221" t="s">
        <v>382</v>
      </c>
      <c r="Q17" s="222"/>
      <c r="R17" s="222"/>
      <c r="S17" s="222"/>
      <c r="T17" s="222"/>
      <c r="U17" s="251"/>
      <c r="V17" s="252" t="s">
        <v>383</v>
      </c>
      <c r="W17" s="250"/>
      <c r="X17" s="250"/>
      <c r="Y17" s="250"/>
      <c r="Z17" s="250"/>
      <c r="AA17" s="250"/>
      <c r="AB17" s="221" t="s">
        <v>384</v>
      </c>
      <c r="AC17" s="222"/>
      <c r="AD17" s="222"/>
      <c r="AE17" s="222"/>
      <c r="AF17" s="223"/>
    </row>
    <row r="18" spans="1:32" ht="15" hidden="1" customHeight="1" thickBot="1" x14ac:dyDescent="0.3">
      <c r="A18" s="226" t="s">
        <v>19</v>
      </c>
      <c r="B18" s="217"/>
      <c r="C18" s="217"/>
      <c r="D18" s="217"/>
      <c r="E18" s="217"/>
      <c r="F18" s="217"/>
      <c r="G18" s="217"/>
      <c r="H18" s="217"/>
      <c r="I18" s="217"/>
      <c r="J18" s="217"/>
      <c r="K18" s="11"/>
      <c r="L18" s="11"/>
      <c r="M18" s="216">
        <f>IFERROR(INDEX(EncounterMultiplier[],MATCH(SUM(K19:L100),EncounterMultiplier[Enemies],1),2),1)</f>
        <v>2</v>
      </c>
      <c r="N18" s="217"/>
      <c r="O18" s="217"/>
      <c r="P18" s="217"/>
      <c r="Q18" s="217"/>
      <c r="R18" s="217"/>
      <c r="S18" s="217"/>
      <c r="T18" s="217"/>
      <c r="U18" s="217"/>
      <c r="V18" s="217"/>
      <c r="W18" s="217"/>
      <c r="X18" s="217"/>
      <c r="Y18" s="217"/>
      <c r="Z18" s="217"/>
      <c r="AA18" s="217"/>
      <c r="AB18" s="217"/>
      <c r="AC18" s="217"/>
      <c r="AD18" s="217"/>
      <c r="AE18" s="217"/>
      <c r="AF18" s="218"/>
    </row>
    <row r="19" spans="1:32" ht="15" customHeight="1" x14ac:dyDescent="0.25">
      <c r="A19" s="236" t="s">
        <v>385</v>
      </c>
      <c r="B19" s="237"/>
      <c r="C19" s="237"/>
      <c r="D19" s="237"/>
      <c r="E19" s="237"/>
      <c r="F19" s="237"/>
      <c r="G19" s="237"/>
      <c r="H19" s="237"/>
      <c r="I19" s="237"/>
      <c r="J19" s="237"/>
      <c r="K19" s="234">
        <v>4</v>
      </c>
      <c r="L19" s="235"/>
      <c r="M19" s="248" t="str">
        <f>IFERROR(VLOOKUP(A19,Creatures[],5,FALSE),"-")</f>
        <v>-</v>
      </c>
      <c r="N19" s="249"/>
      <c r="O19" s="249"/>
      <c r="P19" s="227" t="str">
        <f>IFERROR(VLOOKUP(M19,CREXP[],2,FALSE),"-")</f>
        <v>-</v>
      </c>
      <c r="Q19" s="227"/>
      <c r="R19" s="227"/>
      <c r="S19" s="227"/>
      <c r="T19" s="227"/>
      <c r="U19" s="227"/>
      <c r="V19" s="227" t="str">
        <f>IFERROR(P19*K19,"-")</f>
        <v>-</v>
      </c>
      <c r="W19" s="227"/>
      <c r="X19" s="227"/>
      <c r="Y19" s="227"/>
      <c r="Z19" s="227"/>
      <c r="AA19" s="227"/>
      <c r="AB19" s="224" t="str">
        <f>IFERROR(V19/$H$14,"-")</f>
        <v>-</v>
      </c>
      <c r="AC19" s="224"/>
      <c r="AD19" s="224"/>
      <c r="AE19" s="224"/>
      <c r="AF19" s="225"/>
    </row>
    <row r="20" spans="1:32" ht="15" customHeight="1" x14ac:dyDescent="0.25">
      <c r="A20" s="228" t="s">
        <v>386</v>
      </c>
      <c r="B20" s="229"/>
      <c r="C20" s="229"/>
      <c r="D20" s="229"/>
      <c r="E20" s="229"/>
      <c r="F20" s="229"/>
      <c r="G20" s="229"/>
      <c r="H20" s="229"/>
      <c r="I20" s="229"/>
      <c r="J20" s="229"/>
      <c r="K20" s="230">
        <v>2</v>
      </c>
      <c r="L20" s="231"/>
      <c r="M20" s="232" t="str">
        <f>IFERROR(VLOOKUP(A20,Creatures[],5,FALSE),"-")</f>
        <v>-</v>
      </c>
      <c r="N20" s="233"/>
      <c r="O20" s="233"/>
      <c r="P20" s="219" t="str">
        <f>IFERROR(VLOOKUP(M20,CREXP[],2,FALSE),"-")</f>
        <v>-</v>
      </c>
      <c r="Q20" s="219"/>
      <c r="R20" s="219"/>
      <c r="S20" s="219"/>
      <c r="T20" s="219"/>
      <c r="U20" s="219"/>
      <c r="V20" s="219" t="str">
        <f t="shared" ref="V20:V48" si="0">IFERROR(P20*K20,"-")</f>
        <v>-</v>
      </c>
      <c r="W20" s="219"/>
      <c r="X20" s="219"/>
      <c r="Y20" s="219"/>
      <c r="Z20" s="219"/>
      <c r="AA20" s="219"/>
      <c r="AB20" s="212" t="str">
        <f>IFERROR(V20/$H$14,"-")</f>
        <v>-</v>
      </c>
      <c r="AC20" s="212"/>
      <c r="AD20" s="212"/>
      <c r="AE20" s="212"/>
      <c r="AF20" s="213"/>
    </row>
    <row r="21" spans="1:32" ht="15" customHeight="1" x14ac:dyDescent="0.25">
      <c r="A21" s="228"/>
      <c r="B21" s="229"/>
      <c r="C21" s="229"/>
      <c r="D21" s="229"/>
      <c r="E21" s="229"/>
      <c r="F21" s="229"/>
      <c r="G21" s="229"/>
      <c r="H21" s="229"/>
      <c r="I21" s="229"/>
      <c r="J21" s="229"/>
      <c r="K21" s="230"/>
      <c r="L21" s="231"/>
      <c r="M21" s="232" t="str">
        <f>IFERROR(VLOOKUP(A21,Creatures[],5,FALSE),"-")</f>
        <v>-</v>
      </c>
      <c r="N21" s="233"/>
      <c r="O21" s="233"/>
      <c r="P21" s="219" t="str">
        <f>IFERROR(VLOOKUP(M21,CREXP[],2,FALSE),"-")</f>
        <v>-</v>
      </c>
      <c r="Q21" s="219"/>
      <c r="R21" s="219"/>
      <c r="S21" s="219"/>
      <c r="T21" s="219"/>
      <c r="U21" s="219"/>
      <c r="V21" s="219" t="str">
        <f t="shared" si="0"/>
        <v>-</v>
      </c>
      <c r="W21" s="219"/>
      <c r="X21" s="219"/>
      <c r="Y21" s="219"/>
      <c r="Z21" s="219"/>
      <c r="AA21" s="219"/>
      <c r="AB21" s="212" t="str">
        <f>IFERROR(V21/$H$14,"-")</f>
        <v>-</v>
      </c>
      <c r="AC21" s="212"/>
      <c r="AD21" s="212"/>
      <c r="AE21" s="212"/>
      <c r="AF21" s="213"/>
    </row>
    <row r="22" spans="1:32" ht="15" customHeight="1" x14ac:dyDescent="0.25">
      <c r="A22" s="228"/>
      <c r="B22" s="229"/>
      <c r="C22" s="229"/>
      <c r="D22" s="229"/>
      <c r="E22" s="229"/>
      <c r="F22" s="229"/>
      <c r="G22" s="229"/>
      <c r="H22" s="229"/>
      <c r="I22" s="229"/>
      <c r="J22" s="229"/>
      <c r="K22" s="230"/>
      <c r="L22" s="231"/>
      <c r="M22" s="232" t="str">
        <f>IFERROR(VLOOKUP(A22,Creatures[],5,FALSE),"-")</f>
        <v>-</v>
      </c>
      <c r="N22" s="233"/>
      <c r="O22" s="233"/>
      <c r="P22" s="219" t="str">
        <f>IFERROR(VLOOKUP(M22,CREXP[],2,FALSE),"-")</f>
        <v>-</v>
      </c>
      <c r="Q22" s="219"/>
      <c r="R22" s="219"/>
      <c r="S22" s="219"/>
      <c r="T22" s="219"/>
      <c r="U22" s="219"/>
      <c r="V22" s="219" t="str">
        <f t="shared" si="0"/>
        <v>-</v>
      </c>
      <c r="W22" s="219"/>
      <c r="X22" s="219"/>
      <c r="Y22" s="219"/>
      <c r="Z22" s="219"/>
      <c r="AA22" s="219"/>
      <c r="AB22" s="212" t="str">
        <f t="shared" ref="AB22:AB48" si="1">IFERROR(V22/$H$14,"-")</f>
        <v>-</v>
      </c>
      <c r="AC22" s="212"/>
      <c r="AD22" s="212"/>
      <c r="AE22" s="212"/>
      <c r="AF22" s="213"/>
    </row>
    <row r="23" spans="1:32" ht="15" customHeight="1" x14ac:dyDescent="0.25">
      <c r="A23" s="228"/>
      <c r="B23" s="229"/>
      <c r="C23" s="229"/>
      <c r="D23" s="229"/>
      <c r="E23" s="229"/>
      <c r="F23" s="229"/>
      <c r="G23" s="229"/>
      <c r="H23" s="229"/>
      <c r="I23" s="229"/>
      <c r="J23" s="229"/>
      <c r="K23" s="230"/>
      <c r="L23" s="231"/>
      <c r="M23" s="232" t="str">
        <f>IFERROR(VLOOKUP(A23,Creatures[],5,FALSE),"-")</f>
        <v>-</v>
      </c>
      <c r="N23" s="233"/>
      <c r="O23" s="233"/>
      <c r="P23" s="219" t="str">
        <f>IFERROR(VLOOKUP(M23,CREXP[],2,FALSE),"-")</f>
        <v>-</v>
      </c>
      <c r="Q23" s="219"/>
      <c r="R23" s="219"/>
      <c r="S23" s="219"/>
      <c r="T23" s="219"/>
      <c r="U23" s="219"/>
      <c r="V23" s="219" t="str">
        <f t="shared" si="0"/>
        <v>-</v>
      </c>
      <c r="W23" s="219"/>
      <c r="X23" s="219"/>
      <c r="Y23" s="219"/>
      <c r="Z23" s="219"/>
      <c r="AA23" s="219"/>
      <c r="AB23" s="212" t="str">
        <f t="shared" si="1"/>
        <v>-</v>
      </c>
      <c r="AC23" s="212"/>
      <c r="AD23" s="212"/>
      <c r="AE23" s="212"/>
      <c r="AF23" s="213"/>
    </row>
    <row r="24" spans="1:32" ht="15" customHeight="1" x14ac:dyDescent="0.25">
      <c r="A24" s="228"/>
      <c r="B24" s="229"/>
      <c r="C24" s="229"/>
      <c r="D24" s="229"/>
      <c r="E24" s="229"/>
      <c r="F24" s="229"/>
      <c r="G24" s="229"/>
      <c r="H24" s="229"/>
      <c r="I24" s="229"/>
      <c r="J24" s="229"/>
      <c r="K24" s="230"/>
      <c r="L24" s="231"/>
      <c r="M24" s="232" t="str">
        <f>IFERROR(VLOOKUP(A24,Creatures[],5,FALSE),"-")</f>
        <v>-</v>
      </c>
      <c r="N24" s="233"/>
      <c r="O24" s="233"/>
      <c r="P24" s="219" t="str">
        <f>IFERROR(VLOOKUP(M24,CREXP[],2,FALSE),"-")</f>
        <v>-</v>
      </c>
      <c r="Q24" s="219"/>
      <c r="R24" s="219"/>
      <c r="S24" s="219"/>
      <c r="T24" s="219"/>
      <c r="U24" s="219"/>
      <c r="V24" s="219" t="str">
        <f t="shared" si="0"/>
        <v>-</v>
      </c>
      <c r="W24" s="219"/>
      <c r="X24" s="219"/>
      <c r="Y24" s="219"/>
      <c r="Z24" s="219"/>
      <c r="AA24" s="219"/>
      <c r="AB24" s="212" t="str">
        <f t="shared" si="1"/>
        <v>-</v>
      </c>
      <c r="AC24" s="212"/>
      <c r="AD24" s="212"/>
      <c r="AE24" s="212"/>
      <c r="AF24" s="213"/>
    </row>
    <row r="25" spans="1:32" ht="15" customHeight="1" x14ac:dyDescent="0.25">
      <c r="A25" s="228"/>
      <c r="B25" s="229"/>
      <c r="C25" s="229"/>
      <c r="D25" s="229"/>
      <c r="E25" s="229"/>
      <c r="F25" s="229"/>
      <c r="G25" s="229"/>
      <c r="H25" s="229"/>
      <c r="I25" s="229"/>
      <c r="J25" s="229"/>
      <c r="K25" s="230"/>
      <c r="L25" s="231"/>
      <c r="M25" s="232" t="str">
        <f>IFERROR(VLOOKUP(A25,Creatures[],5,FALSE),"-")</f>
        <v>-</v>
      </c>
      <c r="N25" s="233"/>
      <c r="O25" s="233"/>
      <c r="P25" s="219" t="str">
        <f>IFERROR(VLOOKUP(M25,CREXP[],2,FALSE),"-")</f>
        <v>-</v>
      </c>
      <c r="Q25" s="219"/>
      <c r="R25" s="219"/>
      <c r="S25" s="219"/>
      <c r="T25" s="219"/>
      <c r="U25" s="219"/>
      <c r="V25" s="219" t="str">
        <f t="shared" si="0"/>
        <v>-</v>
      </c>
      <c r="W25" s="219"/>
      <c r="X25" s="219"/>
      <c r="Y25" s="219"/>
      <c r="Z25" s="219"/>
      <c r="AA25" s="219"/>
      <c r="AB25" s="212" t="str">
        <f t="shared" si="1"/>
        <v>-</v>
      </c>
      <c r="AC25" s="212"/>
      <c r="AD25" s="212"/>
      <c r="AE25" s="212"/>
      <c r="AF25" s="213"/>
    </row>
    <row r="26" spans="1:32" ht="15" customHeight="1" x14ac:dyDescent="0.25">
      <c r="A26" s="228"/>
      <c r="B26" s="229"/>
      <c r="C26" s="229"/>
      <c r="D26" s="229"/>
      <c r="E26" s="229"/>
      <c r="F26" s="229"/>
      <c r="G26" s="229"/>
      <c r="H26" s="229"/>
      <c r="I26" s="229"/>
      <c r="J26" s="229"/>
      <c r="K26" s="230"/>
      <c r="L26" s="231"/>
      <c r="M26" s="232" t="str">
        <f>IFERROR(VLOOKUP(A26,Creatures[],5,FALSE),"-")</f>
        <v>-</v>
      </c>
      <c r="N26" s="233"/>
      <c r="O26" s="233"/>
      <c r="P26" s="219" t="str">
        <f>IFERROR(VLOOKUP(M26,CREXP[],2,FALSE),"-")</f>
        <v>-</v>
      </c>
      <c r="Q26" s="219"/>
      <c r="R26" s="219"/>
      <c r="S26" s="219"/>
      <c r="T26" s="219"/>
      <c r="U26" s="219"/>
      <c r="V26" s="219" t="str">
        <f t="shared" si="0"/>
        <v>-</v>
      </c>
      <c r="W26" s="219"/>
      <c r="X26" s="219"/>
      <c r="Y26" s="219"/>
      <c r="Z26" s="219"/>
      <c r="AA26" s="219"/>
      <c r="AB26" s="212" t="str">
        <f t="shared" si="1"/>
        <v>-</v>
      </c>
      <c r="AC26" s="212"/>
      <c r="AD26" s="212"/>
      <c r="AE26" s="212"/>
      <c r="AF26" s="213"/>
    </row>
    <row r="27" spans="1:32" ht="15" customHeight="1" x14ac:dyDescent="0.25">
      <c r="A27" s="228"/>
      <c r="B27" s="229"/>
      <c r="C27" s="229"/>
      <c r="D27" s="229"/>
      <c r="E27" s="229"/>
      <c r="F27" s="229"/>
      <c r="G27" s="229"/>
      <c r="H27" s="229"/>
      <c r="I27" s="229"/>
      <c r="J27" s="229"/>
      <c r="K27" s="230"/>
      <c r="L27" s="231"/>
      <c r="M27" s="232" t="str">
        <f>IFERROR(VLOOKUP(A27,Creatures[],5,FALSE),"-")</f>
        <v>-</v>
      </c>
      <c r="N27" s="233"/>
      <c r="O27" s="233"/>
      <c r="P27" s="219" t="str">
        <f>IFERROR(VLOOKUP(M27,CREXP[],2,FALSE),"-")</f>
        <v>-</v>
      </c>
      <c r="Q27" s="219"/>
      <c r="R27" s="219"/>
      <c r="S27" s="219"/>
      <c r="T27" s="219"/>
      <c r="U27" s="219"/>
      <c r="V27" s="219" t="str">
        <f t="shared" si="0"/>
        <v>-</v>
      </c>
      <c r="W27" s="219"/>
      <c r="X27" s="219"/>
      <c r="Y27" s="219"/>
      <c r="Z27" s="219"/>
      <c r="AA27" s="219"/>
      <c r="AB27" s="212" t="str">
        <f t="shared" si="1"/>
        <v>-</v>
      </c>
      <c r="AC27" s="212"/>
      <c r="AD27" s="212"/>
      <c r="AE27" s="212"/>
      <c r="AF27" s="213"/>
    </row>
    <row r="28" spans="1:32" ht="15" customHeight="1" x14ac:dyDescent="0.25">
      <c r="A28" s="228"/>
      <c r="B28" s="229"/>
      <c r="C28" s="229"/>
      <c r="D28" s="229"/>
      <c r="E28" s="229"/>
      <c r="F28" s="229"/>
      <c r="G28" s="229"/>
      <c r="H28" s="229"/>
      <c r="I28" s="229"/>
      <c r="J28" s="229"/>
      <c r="K28" s="230"/>
      <c r="L28" s="231"/>
      <c r="M28" s="232" t="str">
        <f>IFERROR(VLOOKUP(A28,Creatures[],5,FALSE),"-")</f>
        <v>-</v>
      </c>
      <c r="N28" s="233"/>
      <c r="O28" s="233"/>
      <c r="P28" s="219" t="str">
        <f>IFERROR(VLOOKUP(M28,CREXP[],2,FALSE),"-")</f>
        <v>-</v>
      </c>
      <c r="Q28" s="219"/>
      <c r="R28" s="219"/>
      <c r="S28" s="219"/>
      <c r="T28" s="219"/>
      <c r="U28" s="219"/>
      <c r="V28" s="219" t="str">
        <f t="shared" si="0"/>
        <v>-</v>
      </c>
      <c r="W28" s="219"/>
      <c r="X28" s="219"/>
      <c r="Y28" s="219"/>
      <c r="Z28" s="219"/>
      <c r="AA28" s="219"/>
      <c r="AB28" s="212" t="str">
        <f t="shared" si="1"/>
        <v>-</v>
      </c>
      <c r="AC28" s="212"/>
      <c r="AD28" s="212"/>
      <c r="AE28" s="212"/>
      <c r="AF28" s="213"/>
    </row>
    <row r="29" spans="1:32" ht="15" customHeight="1" x14ac:dyDescent="0.25">
      <c r="A29" s="228"/>
      <c r="B29" s="229"/>
      <c r="C29" s="229"/>
      <c r="D29" s="229"/>
      <c r="E29" s="229"/>
      <c r="F29" s="229"/>
      <c r="G29" s="229"/>
      <c r="H29" s="229"/>
      <c r="I29" s="229"/>
      <c r="J29" s="229"/>
      <c r="K29" s="230"/>
      <c r="L29" s="231"/>
      <c r="M29" s="232" t="str">
        <f>IFERROR(VLOOKUP(A29,Creatures[],5,FALSE),"-")</f>
        <v>-</v>
      </c>
      <c r="N29" s="233"/>
      <c r="O29" s="233"/>
      <c r="P29" s="219" t="str">
        <f>IFERROR(VLOOKUP(M29,CREXP[],2,FALSE),"-")</f>
        <v>-</v>
      </c>
      <c r="Q29" s="219"/>
      <c r="R29" s="219"/>
      <c r="S29" s="219"/>
      <c r="T29" s="219"/>
      <c r="U29" s="219"/>
      <c r="V29" s="219" t="str">
        <f t="shared" si="0"/>
        <v>-</v>
      </c>
      <c r="W29" s="219"/>
      <c r="X29" s="219"/>
      <c r="Y29" s="219"/>
      <c r="Z29" s="219"/>
      <c r="AA29" s="219"/>
      <c r="AB29" s="212" t="str">
        <f t="shared" si="1"/>
        <v>-</v>
      </c>
      <c r="AC29" s="212"/>
      <c r="AD29" s="212"/>
      <c r="AE29" s="212"/>
      <c r="AF29" s="213"/>
    </row>
    <row r="30" spans="1:32" ht="15" customHeight="1" x14ac:dyDescent="0.25">
      <c r="A30" s="228"/>
      <c r="B30" s="229"/>
      <c r="C30" s="229"/>
      <c r="D30" s="229"/>
      <c r="E30" s="229"/>
      <c r="F30" s="229"/>
      <c r="G30" s="229"/>
      <c r="H30" s="229"/>
      <c r="I30" s="229"/>
      <c r="J30" s="229"/>
      <c r="K30" s="230"/>
      <c r="L30" s="231"/>
      <c r="M30" s="232" t="str">
        <f>IFERROR(VLOOKUP(A30,Creatures[],5,FALSE),"-")</f>
        <v>-</v>
      </c>
      <c r="N30" s="233"/>
      <c r="O30" s="233"/>
      <c r="P30" s="219" t="str">
        <f>IFERROR(VLOOKUP(M30,CREXP[],2,FALSE),"-")</f>
        <v>-</v>
      </c>
      <c r="Q30" s="219"/>
      <c r="R30" s="219"/>
      <c r="S30" s="219"/>
      <c r="T30" s="219"/>
      <c r="U30" s="219"/>
      <c r="V30" s="219" t="str">
        <f t="shared" si="0"/>
        <v>-</v>
      </c>
      <c r="W30" s="219"/>
      <c r="X30" s="219"/>
      <c r="Y30" s="219"/>
      <c r="Z30" s="219"/>
      <c r="AA30" s="219"/>
      <c r="AB30" s="212" t="str">
        <f t="shared" si="1"/>
        <v>-</v>
      </c>
      <c r="AC30" s="212"/>
      <c r="AD30" s="212"/>
      <c r="AE30" s="212"/>
      <c r="AF30" s="213"/>
    </row>
    <row r="31" spans="1:32" ht="15" customHeight="1" x14ac:dyDescent="0.25">
      <c r="A31" s="228"/>
      <c r="B31" s="229"/>
      <c r="C31" s="229"/>
      <c r="D31" s="229"/>
      <c r="E31" s="229"/>
      <c r="F31" s="229"/>
      <c r="G31" s="229"/>
      <c r="H31" s="229"/>
      <c r="I31" s="229"/>
      <c r="J31" s="229"/>
      <c r="K31" s="230"/>
      <c r="L31" s="231"/>
      <c r="M31" s="232" t="str">
        <f>IFERROR(VLOOKUP(A31,Creatures[],5,FALSE),"-")</f>
        <v>-</v>
      </c>
      <c r="N31" s="233"/>
      <c r="O31" s="233"/>
      <c r="P31" s="219" t="str">
        <f>IFERROR(VLOOKUP(M31,CREXP[],2,FALSE),"-")</f>
        <v>-</v>
      </c>
      <c r="Q31" s="219"/>
      <c r="R31" s="219"/>
      <c r="S31" s="219"/>
      <c r="T31" s="219"/>
      <c r="U31" s="219"/>
      <c r="V31" s="219" t="str">
        <f t="shared" si="0"/>
        <v>-</v>
      </c>
      <c r="W31" s="219"/>
      <c r="X31" s="219"/>
      <c r="Y31" s="219"/>
      <c r="Z31" s="219"/>
      <c r="AA31" s="219"/>
      <c r="AB31" s="212" t="str">
        <f t="shared" si="1"/>
        <v>-</v>
      </c>
      <c r="AC31" s="212"/>
      <c r="AD31" s="212"/>
      <c r="AE31" s="212"/>
      <c r="AF31" s="213"/>
    </row>
    <row r="32" spans="1:32" ht="15" customHeight="1" x14ac:dyDescent="0.25">
      <c r="A32" s="228"/>
      <c r="B32" s="229"/>
      <c r="C32" s="229"/>
      <c r="D32" s="229"/>
      <c r="E32" s="229"/>
      <c r="F32" s="229"/>
      <c r="G32" s="229"/>
      <c r="H32" s="229"/>
      <c r="I32" s="229"/>
      <c r="J32" s="229"/>
      <c r="K32" s="230"/>
      <c r="L32" s="231"/>
      <c r="M32" s="232" t="str">
        <f>IFERROR(VLOOKUP(A32,Creatures[],5,FALSE),"-")</f>
        <v>-</v>
      </c>
      <c r="N32" s="233"/>
      <c r="O32" s="233"/>
      <c r="P32" s="219" t="str">
        <f>IFERROR(VLOOKUP(M32,CREXP[],2,FALSE),"-")</f>
        <v>-</v>
      </c>
      <c r="Q32" s="219"/>
      <c r="R32" s="219"/>
      <c r="S32" s="219"/>
      <c r="T32" s="219"/>
      <c r="U32" s="219"/>
      <c r="V32" s="219" t="str">
        <f t="shared" si="0"/>
        <v>-</v>
      </c>
      <c r="W32" s="219"/>
      <c r="X32" s="219"/>
      <c r="Y32" s="219"/>
      <c r="Z32" s="219"/>
      <c r="AA32" s="219"/>
      <c r="AB32" s="212" t="str">
        <f t="shared" si="1"/>
        <v>-</v>
      </c>
      <c r="AC32" s="212"/>
      <c r="AD32" s="212"/>
      <c r="AE32" s="212"/>
      <c r="AF32" s="213"/>
    </row>
    <row r="33" spans="1:32" ht="15" customHeight="1" x14ac:dyDescent="0.25">
      <c r="A33" s="228"/>
      <c r="B33" s="229"/>
      <c r="C33" s="229"/>
      <c r="D33" s="229"/>
      <c r="E33" s="229"/>
      <c r="F33" s="229"/>
      <c r="G33" s="229"/>
      <c r="H33" s="229"/>
      <c r="I33" s="229"/>
      <c r="J33" s="229"/>
      <c r="K33" s="230"/>
      <c r="L33" s="231"/>
      <c r="M33" s="232" t="str">
        <f>IFERROR(VLOOKUP(A33,Creatures[],5,FALSE),"-")</f>
        <v>-</v>
      </c>
      <c r="N33" s="233"/>
      <c r="O33" s="233"/>
      <c r="P33" s="219" t="str">
        <f>IFERROR(VLOOKUP(M33,CREXP[],2,FALSE),"-")</f>
        <v>-</v>
      </c>
      <c r="Q33" s="219"/>
      <c r="R33" s="219"/>
      <c r="S33" s="219"/>
      <c r="T33" s="219"/>
      <c r="U33" s="219"/>
      <c r="V33" s="219" t="str">
        <f t="shared" si="0"/>
        <v>-</v>
      </c>
      <c r="W33" s="219"/>
      <c r="X33" s="219"/>
      <c r="Y33" s="219"/>
      <c r="Z33" s="219"/>
      <c r="AA33" s="219"/>
      <c r="AB33" s="212" t="str">
        <f t="shared" si="1"/>
        <v>-</v>
      </c>
      <c r="AC33" s="212"/>
      <c r="AD33" s="212"/>
      <c r="AE33" s="212"/>
      <c r="AF33" s="213"/>
    </row>
    <row r="34" spans="1:32" ht="15" customHeight="1" x14ac:dyDescent="0.25">
      <c r="A34" s="228"/>
      <c r="B34" s="229"/>
      <c r="C34" s="229"/>
      <c r="D34" s="229"/>
      <c r="E34" s="229"/>
      <c r="F34" s="229"/>
      <c r="G34" s="229"/>
      <c r="H34" s="229"/>
      <c r="I34" s="229"/>
      <c r="J34" s="229"/>
      <c r="K34" s="230"/>
      <c r="L34" s="231"/>
      <c r="M34" s="232" t="str">
        <f>IFERROR(VLOOKUP(A34,Creatures[],5,FALSE),"-")</f>
        <v>-</v>
      </c>
      <c r="N34" s="233"/>
      <c r="O34" s="233"/>
      <c r="P34" s="219" t="str">
        <f>IFERROR(VLOOKUP(M34,CREXP[],2,FALSE),"-")</f>
        <v>-</v>
      </c>
      <c r="Q34" s="219"/>
      <c r="R34" s="219"/>
      <c r="S34" s="219"/>
      <c r="T34" s="219"/>
      <c r="U34" s="219"/>
      <c r="V34" s="219" t="str">
        <f t="shared" si="0"/>
        <v>-</v>
      </c>
      <c r="W34" s="219"/>
      <c r="X34" s="219"/>
      <c r="Y34" s="219"/>
      <c r="Z34" s="219"/>
      <c r="AA34" s="219"/>
      <c r="AB34" s="212" t="str">
        <f t="shared" si="1"/>
        <v>-</v>
      </c>
      <c r="AC34" s="212"/>
      <c r="AD34" s="212"/>
      <c r="AE34" s="212"/>
      <c r="AF34" s="213"/>
    </row>
    <row r="35" spans="1:32" ht="15" customHeight="1" x14ac:dyDescent="0.25">
      <c r="A35" s="228"/>
      <c r="B35" s="229"/>
      <c r="C35" s="229"/>
      <c r="D35" s="229"/>
      <c r="E35" s="229"/>
      <c r="F35" s="229"/>
      <c r="G35" s="229"/>
      <c r="H35" s="229"/>
      <c r="I35" s="229"/>
      <c r="J35" s="229"/>
      <c r="K35" s="230"/>
      <c r="L35" s="231"/>
      <c r="M35" s="232" t="str">
        <f>IFERROR(VLOOKUP(A35,Creatures[],5,FALSE),"-")</f>
        <v>-</v>
      </c>
      <c r="N35" s="233"/>
      <c r="O35" s="233"/>
      <c r="P35" s="219" t="str">
        <f>IFERROR(VLOOKUP(M35,CREXP[],2,FALSE),"-")</f>
        <v>-</v>
      </c>
      <c r="Q35" s="219"/>
      <c r="R35" s="219"/>
      <c r="S35" s="219"/>
      <c r="T35" s="219"/>
      <c r="U35" s="219"/>
      <c r="V35" s="219" t="str">
        <f t="shared" si="0"/>
        <v>-</v>
      </c>
      <c r="W35" s="219"/>
      <c r="X35" s="219"/>
      <c r="Y35" s="219"/>
      <c r="Z35" s="219"/>
      <c r="AA35" s="219"/>
      <c r="AB35" s="212" t="str">
        <f t="shared" si="1"/>
        <v>-</v>
      </c>
      <c r="AC35" s="212"/>
      <c r="AD35" s="212"/>
      <c r="AE35" s="212"/>
      <c r="AF35" s="213"/>
    </row>
    <row r="36" spans="1:32" ht="15" customHeight="1" x14ac:dyDescent="0.25">
      <c r="A36" s="228"/>
      <c r="B36" s="229"/>
      <c r="C36" s="229"/>
      <c r="D36" s="229"/>
      <c r="E36" s="229"/>
      <c r="F36" s="229"/>
      <c r="G36" s="229"/>
      <c r="H36" s="229"/>
      <c r="I36" s="229"/>
      <c r="J36" s="229"/>
      <c r="K36" s="230"/>
      <c r="L36" s="231"/>
      <c r="M36" s="232" t="str">
        <f>IFERROR(VLOOKUP(A36,Creatures[],5,FALSE),"-")</f>
        <v>-</v>
      </c>
      <c r="N36" s="233"/>
      <c r="O36" s="233"/>
      <c r="P36" s="219" t="str">
        <f>IFERROR(VLOOKUP(M36,CREXP[],2,FALSE),"-")</f>
        <v>-</v>
      </c>
      <c r="Q36" s="219"/>
      <c r="R36" s="219"/>
      <c r="S36" s="219"/>
      <c r="T36" s="219"/>
      <c r="U36" s="219"/>
      <c r="V36" s="219" t="str">
        <f t="shared" si="0"/>
        <v>-</v>
      </c>
      <c r="W36" s="219"/>
      <c r="X36" s="219"/>
      <c r="Y36" s="219"/>
      <c r="Z36" s="219"/>
      <c r="AA36" s="219"/>
      <c r="AB36" s="212" t="str">
        <f t="shared" si="1"/>
        <v>-</v>
      </c>
      <c r="AC36" s="212"/>
      <c r="AD36" s="212"/>
      <c r="AE36" s="212"/>
      <c r="AF36" s="213"/>
    </row>
    <row r="37" spans="1:32" ht="15" customHeight="1" x14ac:dyDescent="0.25">
      <c r="A37" s="228"/>
      <c r="B37" s="229"/>
      <c r="C37" s="229"/>
      <c r="D37" s="229"/>
      <c r="E37" s="229"/>
      <c r="F37" s="229"/>
      <c r="G37" s="229"/>
      <c r="H37" s="229"/>
      <c r="I37" s="229"/>
      <c r="J37" s="229"/>
      <c r="K37" s="230"/>
      <c r="L37" s="231"/>
      <c r="M37" s="232" t="str">
        <f>IFERROR(VLOOKUP(A37,Creatures[],5,FALSE),"-")</f>
        <v>-</v>
      </c>
      <c r="N37" s="233"/>
      <c r="O37" s="233"/>
      <c r="P37" s="219" t="str">
        <f>IFERROR(VLOOKUP(M37,CREXP[],2,FALSE),"-")</f>
        <v>-</v>
      </c>
      <c r="Q37" s="219"/>
      <c r="R37" s="219"/>
      <c r="S37" s="219"/>
      <c r="T37" s="219"/>
      <c r="U37" s="219"/>
      <c r="V37" s="219" t="str">
        <f t="shared" si="0"/>
        <v>-</v>
      </c>
      <c r="W37" s="219"/>
      <c r="X37" s="219"/>
      <c r="Y37" s="219"/>
      <c r="Z37" s="219"/>
      <c r="AA37" s="219"/>
      <c r="AB37" s="212" t="str">
        <f t="shared" si="1"/>
        <v>-</v>
      </c>
      <c r="AC37" s="212"/>
      <c r="AD37" s="212"/>
      <c r="AE37" s="212"/>
      <c r="AF37" s="213"/>
    </row>
    <row r="38" spans="1:32" ht="15" customHeight="1" x14ac:dyDescent="0.25">
      <c r="A38" s="228"/>
      <c r="B38" s="229"/>
      <c r="C38" s="229"/>
      <c r="D38" s="229"/>
      <c r="E38" s="229"/>
      <c r="F38" s="229"/>
      <c r="G38" s="229"/>
      <c r="H38" s="229"/>
      <c r="I38" s="229"/>
      <c r="J38" s="229"/>
      <c r="K38" s="230"/>
      <c r="L38" s="231"/>
      <c r="M38" s="232" t="str">
        <f>IFERROR(VLOOKUP(A38,Creatures[],5,FALSE),"-")</f>
        <v>-</v>
      </c>
      <c r="N38" s="233"/>
      <c r="O38" s="233"/>
      <c r="P38" s="219" t="str">
        <f>IFERROR(VLOOKUP(M38,CREXP[],2,FALSE),"-")</f>
        <v>-</v>
      </c>
      <c r="Q38" s="219"/>
      <c r="R38" s="219"/>
      <c r="S38" s="219"/>
      <c r="T38" s="219"/>
      <c r="U38" s="219"/>
      <c r="V38" s="219" t="str">
        <f t="shared" si="0"/>
        <v>-</v>
      </c>
      <c r="W38" s="219"/>
      <c r="X38" s="219"/>
      <c r="Y38" s="219"/>
      <c r="Z38" s="219"/>
      <c r="AA38" s="219"/>
      <c r="AB38" s="212" t="str">
        <f t="shared" si="1"/>
        <v>-</v>
      </c>
      <c r="AC38" s="212"/>
      <c r="AD38" s="212"/>
      <c r="AE38" s="212"/>
      <c r="AF38" s="213"/>
    </row>
    <row r="39" spans="1:32" ht="15" customHeight="1" x14ac:dyDescent="0.25">
      <c r="A39" s="228"/>
      <c r="B39" s="229"/>
      <c r="C39" s="229"/>
      <c r="D39" s="229"/>
      <c r="E39" s="229"/>
      <c r="F39" s="229"/>
      <c r="G39" s="229"/>
      <c r="H39" s="229"/>
      <c r="I39" s="229"/>
      <c r="J39" s="229"/>
      <c r="K39" s="230"/>
      <c r="L39" s="231"/>
      <c r="M39" s="232" t="str">
        <f>IFERROR(VLOOKUP(A39,Creatures[],5,FALSE),"-")</f>
        <v>-</v>
      </c>
      <c r="N39" s="233"/>
      <c r="O39" s="233"/>
      <c r="P39" s="219" t="str">
        <f>IFERROR(VLOOKUP(M39,CREXP[],2,FALSE),"-")</f>
        <v>-</v>
      </c>
      <c r="Q39" s="219"/>
      <c r="R39" s="219"/>
      <c r="S39" s="219"/>
      <c r="T39" s="219"/>
      <c r="U39" s="219"/>
      <c r="V39" s="219" t="str">
        <f t="shared" si="0"/>
        <v>-</v>
      </c>
      <c r="W39" s="219"/>
      <c r="X39" s="219"/>
      <c r="Y39" s="219"/>
      <c r="Z39" s="219"/>
      <c r="AA39" s="219"/>
      <c r="AB39" s="212" t="str">
        <f t="shared" si="1"/>
        <v>-</v>
      </c>
      <c r="AC39" s="212"/>
      <c r="AD39" s="212"/>
      <c r="AE39" s="212"/>
      <c r="AF39" s="213"/>
    </row>
    <row r="40" spans="1:32" ht="15" customHeight="1" x14ac:dyDescent="0.25">
      <c r="A40" s="228"/>
      <c r="B40" s="229"/>
      <c r="C40" s="229"/>
      <c r="D40" s="229"/>
      <c r="E40" s="229"/>
      <c r="F40" s="229"/>
      <c r="G40" s="229"/>
      <c r="H40" s="229"/>
      <c r="I40" s="229"/>
      <c r="J40" s="229"/>
      <c r="K40" s="230"/>
      <c r="L40" s="231"/>
      <c r="M40" s="232" t="str">
        <f>IFERROR(VLOOKUP(A40,Creatures[],5,FALSE),"-")</f>
        <v>-</v>
      </c>
      <c r="N40" s="233"/>
      <c r="O40" s="233"/>
      <c r="P40" s="219" t="str">
        <f>IFERROR(VLOOKUP(M40,CREXP[],2,FALSE),"-")</f>
        <v>-</v>
      </c>
      <c r="Q40" s="219"/>
      <c r="R40" s="219"/>
      <c r="S40" s="219"/>
      <c r="T40" s="219"/>
      <c r="U40" s="219"/>
      <c r="V40" s="219" t="str">
        <f t="shared" si="0"/>
        <v>-</v>
      </c>
      <c r="W40" s="219"/>
      <c r="X40" s="219"/>
      <c r="Y40" s="219"/>
      <c r="Z40" s="219"/>
      <c r="AA40" s="219"/>
      <c r="AB40" s="212" t="str">
        <f t="shared" si="1"/>
        <v>-</v>
      </c>
      <c r="AC40" s="212"/>
      <c r="AD40" s="212"/>
      <c r="AE40" s="212"/>
      <c r="AF40" s="213"/>
    </row>
    <row r="41" spans="1:32" ht="15" customHeight="1" x14ac:dyDescent="0.25">
      <c r="A41" s="228"/>
      <c r="B41" s="229"/>
      <c r="C41" s="229"/>
      <c r="D41" s="229"/>
      <c r="E41" s="229"/>
      <c r="F41" s="229"/>
      <c r="G41" s="229"/>
      <c r="H41" s="229"/>
      <c r="I41" s="229"/>
      <c r="J41" s="229"/>
      <c r="K41" s="230"/>
      <c r="L41" s="231"/>
      <c r="M41" s="232" t="str">
        <f>IFERROR(VLOOKUP(A41,Creatures[],5,FALSE),"-")</f>
        <v>-</v>
      </c>
      <c r="N41" s="233"/>
      <c r="O41" s="233"/>
      <c r="P41" s="219" t="str">
        <f>IFERROR(VLOOKUP(M41,CREXP[],2,FALSE),"-")</f>
        <v>-</v>
      </c>
      <c r="Q41" s="219"/>
      <c r="R41" s="219"/>
      <c r="S41" s="219"/>
      <c r="T41" s="219"/>
      <c r="U41" s="219"/>
      <c r="V41" s="219" t="str">
        <f t="shared" si="0"/>
        <v>-</v>
      </c>
      <c r="W41" s="219"/>
      <c r="X41" s="219"/>
      <c r="Y41" s="219"/>
      <c r="Z41" s="219"/>
      <c r="AA41" s="219"/>
      <c r="AB41" s="212" t="str">
        <f t="shared" si="1"/>
        <v>-</v>
      </c>
      <c r="AC41" s="212"/>
      <c r="AD41" s="212"/>
      <c r="AE41" s="212"/>
      <c r="AF41" s="213"/>
    </row>
    <row r="42" spans="1:32" ht="15" customHeight="1" x14ac:dyDescent="0.25">
      <c r="A42" s="228"/>
      <c r="B42" s="229"/>
      <c r="C42" s="229"/>
      <c r="D42" s="229"/>
      <c r="E42" s="229"/>
      <c r="F42" s="229"/>
      <c r="G42" s="229"/>
      <c r="H42" s="229"/>
      <c r="I42" s="229"/>
      <c r="J42" s="229"/>
      <c r="K42" s="230"/>
      <c r="L42" s="231"/>
      <c r="M42" s="232" t="str">
        <f>IFERROR(VLOOKUP(A42,Creatures[],5,FALSE),"-")</f>
        <v>-</v>
      </c>
      <c r="N42" s="233"/>
      <c r="O42" s="233"/>
      <c r="P42" s="219" t="str">
        <f>IFERROR(VLOOKUP(M42,CREXP[],2,FALSE),"-")</f>
        <v>-</v>
      </c>
      <c r="Q42" s="219"/>
      <c r="R42" s="219"/>
      <c r="S42" s="219"/>
      <c r="T42" s="219"/>
      <c r="U42" s="219"/>
      <c r="V42" s="219" t="str">
        <f t="shared" si="0"/>
        <v>-</v>
      </c>
      <c r="W42" s="219"/>
      <c r="X42" s="219"/>
      <c r="Y42" s="219"/>
      <c r="Z42" s="219"/>
      <c r="AA42" s="219"/>
      <c r="AB42" s="212" t="str">
        <f t="shared" si="1"/>
        <v>-</v>
      </c>
      <c r="AC42" s="212"/>
      <c r="AD42" s="212"/>
      <c r="AE42" s="212"/>
      <c r="AF42" s="213"/>
    </row>
    <row r="43" spans="1:32" ht="15" customHeight="1" x14ac:dyDescent="0.25">
      <c r="A43" s="228"/>
      <c r="B43" s="229"/>
      <c r="C43" s="229"/>
      <c r="D43" s="229"/>
      <c r="E43" s="229"/>
      <c r="F43" s="229"/>
      <c r="G43" s="229"/>
      <c r="H43" s="229"/>
      <c r="I43" s="229"/>
      <c r="J43" s="229"/>
      <c r="K43" s="230"/>
      <c r="L43" s="231"/>
      <c r="M43" s="232" t="str">
        <f>IFERROR(VLOOKUP(A43,Creatures[],5,FALSE),"-")</f>
        <v>-</v>
      </c>
      <c r="N43" s="233"/>
      <c r="O43" s="233"/>
      <c r="P43" s="219" t="str">
        <f>IFERROR(VLOOKUP(M43,CREXP[],2,FALSE),"-")</f>
        <v>-</v>
      </c>
      <c r="Q43" s="219"/>
      <c r="R43" s="219"/>
      <c r="S43" s="219"/>
      <c r="T43" s="219"/>
      <c r="U43" s="219"/>
      <c r="V43" s="219" t="str">
        <f t="shared" si="0"/>
        <v>-</v>
      </c>
      <c r="W43" s="219"/>
      <c r="X43" s="219"/>
      <c r="Y43" s="219"/>
      <c r="Z43" s="219"/>
      <c r="AA43" s="219"/>
      <c r="AB43" s="212" t="str">
        <f t="shared" si="1"/>
        <v>-</v>
      </c>
      <c r="AC43" s="212"/>
      <c r="AD43" s="212"/>
      <c r="AE43" s="212"/>
      <c r="AF43" s="213"/>
    </row>
    <row r="44" spans="1:32" ht="15" customHeight="1" x14ac:dyDescent="0.25">
      <c r="A44" s="228"/>
      <c r="B44" s="229"/>
      <c r="C44" s="229"/>
      <c r="D44" s="229"/>
      <c r="E44" s="229"/>
      <c r="F44" s="229"/>
      <c r="G44" s="229"/>
      <c r="H44" s="229"/>
      <c r="I44" s="229"/>
      <c r="J44" s="229"/>
      <c r="K44" s="230"/>
      <c r="L44" s="231"/>
      <c r="M44" s="232" t="str">
        <f>IFERROR(VLOOKUP(A44,Creatures[],5,FALSE),"-")</f>
        <v>-</v>
      </c>
      <c r="N44" s="233"/>
      <c r="O44" s="233"/>
      <c r="P44" s="219" t="str">
        <f>IFERROR(VLOOKUP(M44,CREXP[],2,FALSE),"-")</f>
        <v>-</v>
      </c>
      <c r="Q44" s="219"/>
      <c r="R44" s="219"/>
      <c r="S44" s="219"/>
      <c r="T44" s="219"/>
      <c r="U44" s="219"/>
      <c r="V44" s="219" t="str">
        <f t="shared" si="0"/>
        <v>-</v>
      </c>
      <c r="W44" s="219"/>
      <c r="X44" s="219"/>
      <c r="Y44" s="219"/>
      <c r="Z44" s="219"/>
      <c r="AA44" s="219"/>
      <c r="AB44" s="212" t="str">
        <f t="shared" si="1"/>
        <v>-</v>
      </c>
      <c r="AC44" s="212"/>
      <c r="AD44" s="212"/>
      <c r="AE44" s="212"/>
      <c r="AF44" s="213"/>
    </row>
    <row r="45" spans="1:32" ht="15" customHeight="1" x14ac:dyDescent="0.25">
      <c r="A45" s="228"/>
      <c r="B45" s="229"/>
      <c r="C45" s="229"/>
      <c r="D45" s="229"/>
      <c r="E45" s="229"/>
      <c r="F45" s="229"/>
      <c r="G45" s="229"/>
      <c r="H45" s="229"/>
      <c r="I45" s="229"/>
      <c r="J45" s="229"/>
      <c r="K45" s="230"/>
      <c r="L45" s="231"/>
      <c r="M45" s="232" t="str">
        <f>IFERROR(VLOOKUP(A45,Creatures[],5,FALSE),"-")</f>
        <v>-</v>
      </c>
      <c r="N45" s="233"/>
      <c r="O45" s="233"/>
      <c r="P45" s="219" t="str">
        <f>IFERROR(VLOOKUP(M45,CREXP[],2,FALSE),"-")</f>
        <v>-</v>
      </c>
      <c r="Q45" s="219"/>
      <c r="R45" s="219"/>
      <c r="S45" s="219"/>
      <c r="T45" s="219"/>
      <c r="U45" s="219"/>
      <c r="V45" s="219" t="str">
        <f t="shared" si="0"/>
        <v>-</v>
      </c>
      <c r="W45" s="219"/>
      <c r="X45" s="219"/>
      <c r="Y45" s="219"/>
      <c r="Z45" s="219"/>
      <c r="AA45" s="219"/>
      <c r="AB45" s="212" t="str">
        <f t="shared" si="1"/>
        <v>-</v>
      </c>
      <c r="AC45" s="212"/>
      <c r="AD45" s="212"/>
      <c r="AE45" s="212"/>
      <c r="AF45" s="213"/>
    </row>
    <row r="46" spans="1:32" ht="15" customHeight="1" x14ac:dyDescent="0.25">
      <c r="A46" s="228"/>
      <c r="B46" s="229"/>
      <c r="C46" s="229"/>
      <c r="D46" s="229"/>
      <c r="E46" s="229"/>
      <c r="F46" s="229"/>
      <c r="G46" s="229"/>
      <c r="H46" s="229"/>
      <c r="I46" s="229"/>
      <c r="J46" s="229"/>
      <c r="K46" s="230"/>
      <c r="L46" s="231"/>
      <c r="M46" s="232" t="str">
        <f>IFERROR(VLOOKUP(A46,Creatures[],5,FALSE),"-")</f>
        <v>-</v>
      </c>
      <c r="N46" s="233"/>
      <c r="O46" s="233"/>
      <c r="P46" s="219" t="str">
        <f>IFERROR(VLOOKUP(M46,CREXP[],2,FALSE),"-")</f>
        <v>-</v>
      </c>
      <c r="Q46" s="219"/>
      <c r="R46" s="219"/>
      <c r="S46" s="219"/>
      <c r="T46" s="219"/>
      <c r="U46" s="219"/>
      <c r="V46" s="219" t="str">
        <f t="shared" si="0"/>
        <v>-</v>
      </c>
      <c r="W46" s="219"/>
      <c r="X46" s="219"/>
      <c r="Y46" s="219"/>
      <c r="Z46" s="219"/>
      <c r="AA46" s="219"/>
      <c r="AB46" s="212" t="str">
        <f t="shared" si="1"/>
        <v>-</v>
      </c>
      <c r="AC46" s="212"/>
      <c r="AD46" s="212"/>
      <c r="AE46" s="212"/>
      <c r="AF46" s="213"/>
    </row>
    <row r="47" spans="1:32" ht="15" customHeight="1" x14ac:dyDescent="0.25">
      <c r="A47" s="228"/>
      <c r="B47" s="229"/>
      <c r="C47" s="229"/>
      <c r="D47" s="229"/>
      <c r="E47" s="229"/>
      <c r="F47" s="229"/>
      <c r="G47" s="229"/>
      <c r="H47" s="229"/>
      <c r="I47" s="229"/>
      <c r="J47" s="229"/>
      <c r="K47" s="230"/>
      <c r="L47" s="231"/>
      <c r="M47" s="232" t="str">
        <f>IFERROR(VLOOKUP(A47,Creatures[],5,FALSE),"-")</f>
        <v>-</v>
      </c>
      <c r="N47" s="233"/>
      <c r="O47" s="233"/>
      <c r="P47" s="219" t="str">
        <f>IFERROR(VLOOKUP(M47,CREXP[],2,FALSE),"-")</f>
        <v>-</v>
      </c>
      <c r="Q47" s="219"/>
      <c r="R47" s="219"/>
      <c r="S47" s="219"/>
      <c r="T47" s="219"/>
      <c r="U47" s="219"/>
      <c r="V47" s="219" t="str">
        <f t="shared" si="0"/>
        <v>-</v>
      </c>
      <c r="W47" s="219"/>
      <c r="X47" s="219"/>
      <c r="Y47" s="219"/>
      <c r="Z47" s="219"/>
      <c r="AA47" s="219"/>
      <c r="AB47" s="212" t="str">
        <f t="shared" si="1"/>
        <v>-</v>
      </c>
      <c r="AC47" s="212"/>
      <c r="AD47" s="212"/>
      <c r="AE47" s="212"/>
      <c r="AF47" s="213"/>
    </row>
    <row r="48" spans="1:32" ht="15" customHeight="1" thickBot="1" x14ac:dyDescent="0.3">
      <c r="A48" s="238"/>
      <c r="B48" s="239"/>
      <c r="C48" s="239"/>
      <c r="D48" s="239"/>
      <c r="E48" s="239"/>
      <c r="F48" s="239"/>
      <c r="G48" s="239"/>
      <c r="H48" s="239"/>
      <c r="I48" s="239"/>
      <c r="J48" s="239"/>
      <c r="K48" s="240"/>
      <c r="L48" s="241"/>
      <c r="M48" s="242" t="str">
        <f>IFERROR(VLOOKUP(A48,Creatures[],5,FALSE),"-")</f>
        <v>-</v>
      </c>
      <c r="N48" s="243"/>
      <c r="O48" s="243"/>
      <c r="P48" s="220" t="str">
        <f>IFERROR(VLOOKUP(M48,CREXP[],2,FALSE),"-")</f>
        <v>-</v>
      </c>
      <c r="Q48" s="220"/>
      <c r="R48" s="220"/>
      <c r="S48" s="220"/>
      <c r="T48" s="220"/>
      <c r="U48" s="220"/>
      <c r="V48" s="220" t="str">
        <f t="shared" si="0"/>
        <v>-</v>
      </c>
      <c r="W48" s="220"/>
      <c r="X48" s="220"/>
      <c r="Y48" s="220"/>
      <c r="Z48" s="220"/>
      <c r="AA48" s="220"/>
      <c r="AB48" s="214" t="str">
        <f t="shared" si="1"/>
        <v>-</v>
      </c>
      <c r="AC48" s="214"/>
      <c r="AD48" s="214"/>
      <c r="AE48" s="214"/>
      <c r="AF48" s="215"/>
    </row>
  </sheetData>
  <mergeCells count="268">
    <mergeCell ref="A7:E7"/>
    <mergeCell ref="F7:G7"/>
    <mergeCell ref="F2:G2"/>
    <mergeCell ref="F3:G3"/>
    <mergeCell ref="F4:G4"/>
    <mergeCell ref="F5:G5"/>
    <mergeCell ref="F6:G6"/>
    <mergeCell ref="A3:E3"/>
    <mergeCell ref="A4:E4"/>
    <mergeCell ref="A5:E5"/>
    <mergeCell ref="A6:E6"/>
    <mergeCell ref="F8:G8"/>
    <mergeCell ref="F9:G9"/>
    <mergeCell ref="F10:G10"/>
    <mergeCell ref="F11:G11"/>
    <mergeCell ref="F12:G12"/>
    <mergeCell ref="A8:E8"/>
    <mergeCell ref="A9:E9"/>
    <mergeCell ref="A10:E10"/>
    <mergeCell ref="A11:E11"/>
    <mergeCell ref="A12:E12"/>
    <mergeCell ref="H1:S1"/>
    <mergeCell ref="H2:J2"/>
    <mergeCell ref="K2:M2"/>
    <mergeCell ref="N2:P2"/>
    <mergeCell ref="Q2:S2"/>
    <mergeCell ref="H3:J3"/>
    <mergeCell ref="K3:M3"/>
    <mergeCell ref="N3:P3"/>
    <mergeCell ref="Q3:S3"/>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U1:AF1"/>
    <mergeCell ref="U2:W2"/>
    <mergeCell ref="X2:Z2"/>
    <mergeCell ref="AA2:AC2"/>
    <mergeCell ref="AD2:AF2"/>
    <mergeCell ref="U3:W3"/>
    <mergeCell ref="X3:Z3"/>
    <mergeCell ref="AA3:AC3"/>
    <mergeCell ref="AD3:AF3"/>
    <mergeCell ref="A17:J17"/>
    <mergeCell ref="K17:L17"/>
    <mergeCell ref="M19:O19"/>
    <mergeCell ref="M17:O17"/>
    <mergeCell ref="P17:U17"/>
    <mergeCell ref="V17:AA17"/>
    <mergeCell ref="A15:G15"/>
    <mergeCell ref="A14:G14"/>
    <mergeCell ref="H15:S15"/>
    <mergeCell ref="H14:M14"/>
    <mergeCell ref="N14:S14"/>
    <mergeCell ref="A24:J24"/>
    <mergeCell ref="K24:L24"/>
    <mergeCell ref="M24:O24"/>
    <mergeCell ref="A23:J23"/>
    <mergeCell ref="K23:L23"/>
    <mergeCell ref="M23:O23"/>
    <mergeCell ref="A22:J22"/>
    <mergeCell ref="K22:L22"/>
    <mergeCell ref="M22:O22"/>
    <mergeCell ref="A27:J27"/>
    <mergeCell ref="K27:L27"/>
    <mergeCell ref="M27:O27"/>
    <mergeCell ref="A26:J26"/>
    <mergeCell ref="K26:L26"/>
    <mergeCell ref="M26:O26"/>
    <mergeCell ref="A25:J25"/>
    <mergeCell ref="K25:L25"/>
    <mergeCell ref="M25:O25"/>
    <mergeCell ref="A30:J30"/>
    <mergeCell ref="K30:L30"/>
    <mergeCell ref="M30:O30"/>
    <mergeCell ref="A29:J29"/>
    <mergeCell ref="K29:L29"/>
    <mergeCell ref="M29:O29"/>
    <mergeCell ref="A28:J28"/>
    <mergeCell ref="K28:L28"/>
    <mergeCell ref="M28:O28"/>
    <mergeCell ref="A33:J33"/>
    <mergeCell ref="K33:L33"/>
    <mergeCell ref="M33:O33"/>
    <mergeCell ref="A32:J32"/>
    <mergeCell ref="K32:L32"/>
    <mergeCell ref="M32:O32"/>
    <mergeCell ref="A31:J31"/>
    <mergeCell ref="K31:L31"/>
    <mergeCell ref="M31:O31"/>
    <mergeCell ref="A36:J36"/>
    <mergeCell ref="K36:L36"/>
    <mergeCell ref="M36:O36"/>
    <mergeCell ref="A35:J35"/>
    <mergeCell ref="K35:L35"/>
    <mergeCell ref="M35:O35"/>
    <mergeCell ref="A34:J34"/>
    <mergeCell ref="K34:L34"/>
    <mergeCell ref="M34:O34"/>
    <mergeCell ref="A39:J39"/>
    <mergeCell ref="K39:L39"/>
    <mergeCell ref="M39:O39"/>
    <mergeCell ref="A38:J38"/>
    <mergeCell ref="K38:L38"/>
    <mergeCell ref="M38:O38"/>
    <mergeCell ref="A37:J37"/>
    <mergeCell ref="K37:L37"/>
    <mergeCell ref="M37:O37"/>
    <mergeCell ref="A42:J42"/>
    <mergeCell ref="K42:L42"/>
    <mergeCell ref="M42:O42"/>
    <mergeCell ref="A41:J41"/>
    <mergeCell ref="K41:L41"/>
    <mergeCell ref="M41:O41"/>
    <mergeCell ref="A40:J40"/>
    <mergeCell ref="K40:L40"/>
    <mergeCell ref="M40:O40"/>
    <mergeCell ref="A45:J45"/>
    <mergeCell ref="K45:L45"/>
    <mergeCell ref="M45:O45"/>
    <mergeCell ref="A44:J44"/>
    <mergeCell ref="K44:L44"/>
    <mergeCell ref="M44:O44"/>
    <mergeCell ref="A43:J43"/>
    <mergeCell ref="K43:L43"/>
    <mergeCell ref="M43:O43"/>
    <mergeCell ref="A48:J48"/>
    <mergeCell ref="K48:L48"/>
    <mergeCell ref="M48:O48"/>
    <mergeCell ref="A47:J47"/>
    <mergeCell ref="K47:L47"/>
    <mergeCell ref="M47:O47"/>
    <mergeCell ref="A46:J46"/>
    <mergeCell ref="K46:L46"/>
    <mergeCell ref="M46:O46"/>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P26:U26"/>
    <mergeCell ref="V26:AA26"/>
    <mergeCell ref="P27:U27"/>
    <mergeCell ref="V27:AA27"/>
    <mergeCell ref="P28:U28"/>
    <mergeCell ref="V28:AA28"/>
    <mergeCell ref="P23:U23"/>
    <mergeCell ref="V23:AA23"/>
    <mergeCell ref="P24:U24"/>
    <mergeCell ref="V24:AA24"/>
    <mergeCell ref="P25:U25"/>
    <mergeCell ref="V25:AA25"/>
    <mergeCell ref="P32:U32"/>
    <mergeCell ref="V32:AA32"/>
    <mergeCell ref="P33:U33"/>
    <mergeCell ref="V33:AA33"/>
    <mergeCell ref="P34:U34"/>
    <mergeCell ref="V34:AA34"/>
    <mergeCell ref="P29:U29"/>
    <mergeCell ref="V29:AA29"/>
    <mergeCell ref="P30:U30"/>
    <mergeCell ref="V30:AA30"/>
    <mergeCell ref="P31:U31"/>
    <mergeCell ref="V31:AA31"/>
    <mergeCell ref="P38:U38"/>
    <mergeCell ref="V38:AA38"/>
    <mergeCell ref="P39:U39"/>
    <mergeCell ref="V39:AA39"/>
    <mergeCell ref="P40:U40"/>
    <mergeCell ref="V40:AA40"/>
    <mergeCell ref="P35:U35"/>
    <mergeCell ref="V35:AA35"/>
    <mergeCell ref="P36:U36"/>
    <mergeCell ref="V36:AA36"/>
    <mergeCell ref="P37:U37"/>
    <mergeCell ref="V37:AA37"/>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s>
  <conditionalFormatting sqref="H14">
    <cfRule type="colorScale" priority="201">
      <colorScale>
        <cfvo type="num" val="0"/>
        <cfvo type="num" val="$AD$3/2"/>
        <cfvo type="num" val="$AD$3"/>
        <color rgb="FF63BE7B"/>
        <color rgb="FFFFEB84"/>
        <color rgb="FFF8696B"/>
      </colorScale>
    </cfRule>
  </conditionalFormatting>
  <conditionalFormatting sqref="A19:C48 E19:L48">
    <cfRule type="expression" dxfId="32" priority="4">
      <formula>IF($A19="",FALSE,ISERROR(MATCH(VLOOKUP($A19,INDIRECT("Creatures"),7,FALSE),INDIRECT("LegitimateSources[Legitimate Sources]"),0)))=TRUE</formula>
    </cfRule>
  </conditionalFormatting>
  <conditionalFormatting sqref="N14">
    <cfRule type="colorScale" priority="2">
      <colorScale>
        <cfvo type="num" val="0"/>
        <cfvo type="num" val="$AD$3/2"/>
        <cfvo type="num" val="$AD$3"/>
        <color rgb="FF63BE7B"/>
        <color rgb="FFFFEB84"/>
        <color rgb="FFF8696B"/>
      </colorScale>
    </cfRule>
  </conditionalFormatting>
  <conditionalFormatting sqref="A19:L48">
    <cfRule type="cellIs" dxfId="31" priority="1" operator="equal">
      <formula>""</formula>
    </cfRule>
  </conditionalFormatting>
  <dataValidations count="2">
    <dataValidation type="whole" operator="greaterThan" allowBlank="1" showInputMessage="1" showErrorMessage="1" errorTitle="Invalid Input" error="Please enter a whole number greater than 0." promptTitle="Note" prompt="For an NPC to be included in an encounter there must be a whole number greater than 1 entered in this column." sqref="K19:L48" xr:uid="{00000000-0002-0000-0400-000000000000}">
      <formula1>-1</formula1>
    </dataValidation>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19:J48" xr:uid="{00000000-0002-0000-0400-000001000000}">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5"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6" name="Button 8">
              <controlPr defaultSize="0" print="0" autoFill="0" autoPict="0" macro="[0]!BrowseEncounters">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7" name="Button 9">
              <controlPr defaultSize="0" print="0" autoFill="0" autoPict="0" macro="[0]!ReadyEncounter">
                <anchor moveWithCells="1" sizeWithCells="1">
                  <from>
                    <xdr:col>26</xdr:col>
                    <xdr:colOff>0</xdr:colOff>
                    <xdr:row>14</xdr:row>
                    <xdr:rowOff>19050</xdr:rowOff>
                  </from>
                  <to>
                    <xdr:col>31</xdr:col>
                    <xdr:colOff>180975</xdr:colOff>
                    <xdr:row>14</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5A362F"/>
  </sheetPr>
  <dimension ref="A1:AY64"/>
  <sheetViews>
    <sheetView showGridLines="0" showRowColHeaders="0" workbookViewId="0">
      <selection activeCell="AR44" sqref="AR44"/>
    </sheetView>
  </sheetViews>
  <sheetFormatPr defaultColWidth="2.85546875" defaultRowHeight="15" customHeight="1" x14ac:dyDescent="0.25"/>
  <cols>
    <col min="1" max="51" width="2.85546875" style="29" customWidth="1"/>
    <col min="52" max="16384" width="2.85546875" style="29"/>
  </cols>
  <sheetData>
    <row r="1" spans="1:51" ht="15.75" thickBot="1" x14ac:dyDescent="0.3">
      <c r="H1" s="317" t="s">
        <v>22</v>
      </c>
      <c r="I1" s="318"/>
      <c r="J1" s="318"/>
      <c r="K1" s="318"/>
      <c r="L1" s="318"/>
      <c r="M1" s="318"/>
      <c r="N1" s="318"/>
      <c r="O1" s="318"/>
      <c r="P1" s="318"/>
      <c r="Q1" s="318"/>
      <c r="R1" s="318"/>
      <c r="S1" s="318"/>
      <c r="T1" s="318"/>
      <c r="U1" s="318"/>
      <c r="V1" s="318"/>
      <c r="W1" s="318"/>
      <c r="X1" s="318"/>
      <c r="Y1" s="318"/>
      <c r="Z1" s="318"/>
      <c r="AA1" s="318"/>
      <c r="AB1" s="318"/>
      <c r="AC1" s="319"/>
    </row>
    <row r="2" spans="1:51" ht="21" thickBot="1" x14ac:dyDescent="0.3">
      <c r="A2" s="311" t="s">
        <v>47</v>
      </c>
      <c r="B2" s="311"/>
      <c r="C2" s="311"/>
      <c r="D2" s="311"/>
      <c r="E2" s="311"/>
      <c r="F2" s="311" t="s">
        <v>13</v>
      </c>
      <c r="G2" s="320"/>
      <c r="H2" s="15" t="s">
        <v>24</v>
      </c>
      <c r="I2" s="15" t="s">
        <v>25</v>
      </c>
      <c r="J2" s="15" t="s">
        <v>26</v>
      </c>
      <c r="K2" s="12">
        <v>1</v>
      </c>
      <c r="L2" s="12">
        <v>2</v>
      </c>
      <c r="M2" s="12">
        <v>3</v>
      </c>
      <c r="N2" s="12">
        <v>4</v>
      </c>
      <c r="O2" s="12">
        <v>5</v>
      </c>
      <c r="P2" s="12">
        <v>7</v>
      </c>
      <c r="Q2" s="12">
        <v>8</v>
      </c>
      <c r="R2" s="12">
        <v>9</v>
      </c>
      <c r="S2" s="12">
        <v>10</v>
      </c>
      <c r="T2" s="12">
        <v>11</v>
      </c>
      <c r="U2" s="12">
        <v>12</v>
      </c>
      <c r="V2" s="12">
        <v>13</v>
      </c>
      <c r="W2" s="12">
        <v>14</v>
      </c>
      <c r="X2" s="12">
        <v>15</v>
      </c>
      <c r="Y2" s="12">
        <v>16</v>
      </c>
      <c r="Z2" s="12">
        <v>17</v>
      </c>
      <c r="AA2" s="12">
        <v>18</v>
      </c>
      <c r="AB2" s="12">
        <v>19</v>
      </c>
      <c r="AC2" s="25">
        <v>20</v>
      </c>
      <c r="AF2" s="40"/>
      <c r="AG2" s="41"/>
      <c r="AH2" s="41"/>
      <c r="AI2" s="41"/>
      <c r="AJ2" s="41"/>
      <c r="AK2" s="41"/>
      <c r="AL2" s="41"/>
      <c r="AM2" s="41"/>
      <c r="AN2" s="41"/>
      <c r="AO2" s="41"/>
      <c r="AP2" s="41"/>
      <c r="AQ2" s="41"/>
      <c r="AR2" s="41"/>
      <c r="AS2" s="41"/>
      <c r="AT2" s="41"/>
      <c r="AU2" s="41"/>
      <c r="AV2" s="41"/>
      <c r="AW2" s="41"/>
      <c r="AX2" s="41"/>
      <c r="AY2" s="42"/>
    </row>
    <row r="3" spans="1:51" x14ac:dyDescent="0.25">
      <c r="A3" s="299" t="str">
        <f>IF('Player Manager'!J13="","",'Player Manager'!J11)</f>
        <v>Adel</v>
      </c>
      <c r="B3" s="300"/>
      <c r="C3" s="300"/>
      <c r="D3" s="300"/>
      <c r="E3" s="300"/>
      <c r="F3" s="297">
        <f ca="1">IF(A3="","",'Player Manager'!J15)</f>
        <v>5</v>
      </c>
      <c r="G3" s="298"/>
      <c r="H3" s="16">
        <f t="array" aca="1" ref="H3:AC3" ca="1">GetCreaturePlayer(F3,PlayerToCreature[])</f>
        <v>12</v>
      </c>
      <c r="I3" s="17">
        <f ca="1"/>
        <v>8</v>
      </c>
      <c r="J3" s="17">
        <f ca="1"/>
        <v>4</v>
      </c>
      <c r="K3" s="17">
        <f ca="1"/>
        <v>2</v>
      </c>
      <c r="L3" s="17">
        <f ca="1"/>
        <v>1</v>
      </c>
      <c r="M3" s="17" t="str">
        <f ca="1"/>
        <v>1/2</v>
      </c>
      <c r="N3" s="17" t="str">
        <f ca="1"/>
        <v>1/3</v>
      </c>
      <c r="O3" s="17" t="str">
        <f ca="1"/>
        <v>1/5</v>
      </c>
      <c r="P3" s="17" t="str">
        <f ca="1"/>
        <v>1/6</v>
      </c>
      <c r="Q3" s="17">
        <f ca="1"/>
        <v>0</v>
      </c>
      <c r="R3" s="17">
        <f ca="1"/>
        <v>0</v>
      </c>
      <c r="S3" s="17">
        <f ca="1"/>
        <v>0</v>
      </c>
      <c r="T3" s="17">
        <f ca="1"/>
        <v>0</v>
      </c>
      <c r="U3" s="17">
        <f ca="1"/>
        <v>0</v>
      </c>
      <c r="V3" s="17">
        <f ca="1"/>
        <v>0</v>
      </c>
      <c r="W3" s="17">
        <f ca="1"/>
        <v>0</v>
      </c>
      <c r="X3" s="17">
        <f ca="1"/>
        <v>0</v>
      </c>
      <c r="Y3" s="17">
        <f ca="1"/>
        <v>0</v>
      </c>
      <c r="Z3" s="17">
        <f ca="1"/>
        <v>0</v>
      </c>
      <c r="AA3" s="17">
        <f ca="1"/>
        <v>0</v>
      </c>
      <c r="AB3" s="17">
        <f ca="1"/>
        <v>0</v>
      </c>
      <c r="AC3" s="18">
        <f ca="1"/>
        <v>0</v>
      </c>
      <c r="AF3" s="45"/>
      <c r="AG3" s="10"/>
      <c r="AH3" s="10"/>
      <c r="AI3" s="10"/>
      <c r="AJ3" s="10"/>
      <c r="AK3" s="10"/>
      <c r="AL3" s="10"/>
      <c r="AM3" s="10"/>
      <c r="AN3" s="10"/>
      <c r="AO3" s="10"/>
      <c r="AP3" s="10"/>
      <c r="AQ3" s="10"/>
      <c r="AR3" s="10"/>
      <c r="AS3" s="10"/>
      <c r="AT3" s="10"/>
      <c r="AU3" s="10"/>
      <c r="AV3" s="10"/>
      <c r="AW3" s="10"/>
      <c r="AX3" s="10"/>
      <c r="AY3" s="46"/>
    </row>
    <row r="4" spans="1:51" x14ac:dyDescent="0.25">
      <c r="A4" s="292" t="str">
        <f>IF('Player Manager'!S13="","",'Player Manager'!S11)</f>
        <v>Broug</v>
      </c>
      <c r="B4" s="293"/>
      <c r="C4" s="293"/>
      <c r="D4" s="293"/>
      <c r="E4" s="293"/>
      <c r="F4" s="288">
        <f ca="1">IF(A4="","",'Player Manager'!S15)</f>
        <v>1</v>
      </c>
      <c r="G4" s="289"/>
      <c r="H4" s="19">
        <f t="array" aca="1" ref="H4:AC4" ca="1">GetCreaturePlayer(F4,PlayerToCreature[])</f>
        <v>2</v>
      </c>
      <c r="I4" s="20">
        <f ca="1"/>
        <v>1</v>
      </c>
      <c r="J4" s="20" t="str">
        <f ca="1"/>
        <v>1/3</v>
      </c>
      <c r="K4" s="20" t="str">
        <f ca="1"/>
        <v>1/5</v>
      </c>
      <c r="L4" s="20">
        <f ca="1"/>
        <v>0</v>
      </c>
      <c r="M4" s="20">
        <f ca="1"/>
        <v>0</v>
      </c>
      <c r="N4" s="20">
        <f ca="1"/>
        <v>0</v>
      </c>
      <c r="O4" s="20">
        <f ca="1"/>
        <v>0</v>
      </c>
      <c r="P4" s="20">
        <f ca="1"/>
        <v>0</v>
      </c>
      <c r="Q4" s="20">
        <f ca="1"/>
        <v>0</v>
      </c>
      <c r="R4" s="20">
        <f ca="1"/>
        <v>0</v>
      </c>
      <c r="S4" s="20">
        <f ca="1"/>
        <v>0</v>
      </c>
      <c r="T4" s="20">
        <f ca="1"/>
        <v>0</v>
      </c>
      <c r="U4" s="20">
        <f ca="1"/>
        <v>0</v>
      </c>
      <c r="V4" s="20">
        <f ca="1"/>
        <v>0</v>
      </c>
      <c r="W4" s="20">
        <f ca="1"/>
        <v>0</v>
      </c>
      <c r="X4" s="20">
        <f ca="1"/>
        <v>0</v>
      </c>
      <c r="Y4" s="20">
        <f ca="1"/>
        <v>0</v>
      </c>
      <c r="Z4" s="20">
        <f ca="1"/>
        <v>0</v>
      </c>
      <c r="AA4" s="20">
        <f ca="1"/>
        <v>0</v>
      </c>
      <c r="AB4" s="20">
        <f ca="1"/>
        <v>0</v>
      </c>
      <c r="AC4" s="21">
        <f ca="1"/>
        <v>0</v>
      </c>
      <c r="AF4" s="45"/>
      <c r="AG4" s="10"/>
      <c r="AH4" s="10"/>
      <c r="AI4" s="10"/>
      <c r="AJ4" s="10"/>
      <c r="AK4" s="10"/>
      <c r="AL4" s="10"/>
      <c r="AM4" s="10"/>
      <c r="AN4" s="10"/>
      <c r="AO4" s="10"/>
      <c r="AP4" s="10"/>
      <c r="AQ4" s="10"/>
      <c r="AR4" s="10"/>
      <c r="AS4" s="10"/>
      <c r="AT4" s="10"/>
      <c r="AU4" s="10"/>
      <c r="AV4" s="10"/>
      <c r="AW4" s="10"/>
      <c r="AX4" s="10"/>
      <c r="AY4" s="46"/>
    </row>
    <row r="5" spans="1:51" x14ac:dyDescent="0.25">
      <c r="A5" s="292" t="str">
        <f>IF('Player Manager'!AB13="","",'Player Manager'!AB11)</f>
        <v>Capt.</v>
      </c>
      <c r="B5" s="293"/>
      <c r="C5" s="293"/>
      <c r="D5" s="293"/>
      <c r="E5" s="293"/>
      <c r="F5" s="288">
        <f ca="1">IF(A5="","",'Player Manager'!AB15)</f>
        <v>3</v>
      </c>
      <c r="G5" s="289"/>
      <c r="H5" s="19">
        <f t="array" aca="1" ref="H5:AC5" ca="1">GetCreaturePlayer(F5,PlayerToCreature[])</f>
        <v>5</v>
      </c>
      <c r="I5" s="20">
        <f ca="1"/>
        <v>2</v>
      </c>
      <c r="J5" s="20">
        <f ca="1"/>
        <v>1</v>
      </c>
      <c r="K5" s="20" t="str">
        <f ca="1"/>
        <v>1/2</v>
      </c>
      <c r="L5" s="20" t="str">
        <f ca="1"/>
        <v>1/4</v>
      </c>
      <c r="M5" s="20" t="str">
        <f ca="1"/>
        <v>1/6</v>
      </c>
      <c r="N5" s="20">
        <f ca="1"/>
        <v>0</v>
      </c>
      <c r="O5" s="20">
        <f ca="1"/>
        <v>0</v>
      </c>
      <c r="P5" s="20">
        <f ca="1"/>
        <v>0</v>
      </c>
      <c r="Q5" s="20">
        <f ca="1"/>
        <v>0</v>
      </c>
      <c r="R5" s="20">
        <f ca="1"/>
        <v>0</v>
      </c>
      <c r="S5" s="20">
        <f ca="1"/>
        <v>0</v>
      </c>
      <c r="T5" s="20">
        <f ca="1"/>
        <v>0</v>
      </c>
      <c r="U5" s="20">
        <f ca="1"/>
        <v>0</v>
      </c>
      <c r="V5" s="20">
        <f ca="1"/>
        <v>0</v>
      </c>
      <c r="W5" s="20">
        <f ca="1"/>
        <v>0</v>
      </c>
      <c r="X5" s="20">
        <f ca="1"/>
        <v>0</v>
      </c>
      <c r="Y5" s="20">
        <f ca="1"/>
        <v>0</v>
      </c>
      <c r="Z5" s="20">
        <f ca="1"/>
        <v>0</v>
      </c>
      <c r="AA5" s="20">
        <f ca="1"/>
        <v>0</v>
      </c>
      <c r="AB5" s="20">
        <f ca="1"/>
        <v>0</v>
      </c>
      <c r="AC5" s="21">
        <f ca="1"/>
        <v>0</v>
      </c>
      <c r="AF5" s="45"/>
      <c r="AG5" s="10"/>
      <c r="AH5" s="10"/>
      <c r="AI5" s="10"/>
      <c r="AJ5" s="10"/>
      <c r="AK5" s="10"/>
      <c r="AL5" s="10"/>
      <c r="AM5" s="10"/>
      <c r="AN5" s="10"/>
      <c r="AO5" s="10"/>
      <c r="AP5" s="10"/>
      <c r="AQ5" s="10"/>
      <c r="AR5" s="10"/>
      <c r="AS5" s="10"/>
      <c r="AT5" s="10"/>
      <c r="AU5" s="10"/>
      <c r="AV5" s="10"/>
      <c r="AW5" s="10"/>
      <c r="AX5" s="10"/>
      <c r="AY5" s="46"/>
    </row>
    <row r="6" spans="1:51" x14ac:dyDescent="0.25">
      <c r="A6" s="292" t="str">
        <f>IF('Player Manager'!AK13="","",'Player Manager'!AK11)</f>
        <v>Dagga</v>
      </c>
      <c r="B6" s="293"/>
      <c r="C6" s="293"/>
      <c r="D6" s="293"/>
      <c r="E6" s="293"/>
      <c r="F6" s="288">
        <f ca="1">IF(A6="","",'Player Manager'!AK15)</f>
        <v>11</v>
      </c>
      <c r="G6" s="289"/>
      <c r="H6" s="19">
        <f t="array" aca="1" ref="H6:AC6" ca="1">GetCreaturePlayer(F6,PlayerToCreature[])</f>
        <v>12</v>
      </c>
      <c r="I6" s="20">
        <f ca="1"/>
        <v>12</v>
      </c>
      <c r="J6" s="20">
        <f ca="1"/>
        <v>12</v>
      </c>
      <c r="K6" s="20">
        <f ca="1"/>
        <v>6</v>
      </c>
      <c r="L6" s="20">
        <f ca="1"/>
        <v>3</v>
      </c>
      <c r="M6" s="20">
        <f ca="1"/>
        <v>2</v>
      </c>
      <c r="N6" s="20">
        <f ca="1"/>
        <v>1</v>
      </c>
      <c r="O6" s="20" t="str">
        <f ca="1"/>
        <v>1/2</v>
      </c>
      <c r="P6" s="20" t="str">
        <f ca="1"/>
        <v>1/2</v>
      </c>
      <c r="Q6" s="20" t="str">
        <f ca="1"/>
        <v>1/2</v>
      </c>
      <c r="R6" s="20" t="str">
        <f ca="1"/>
        <v>1/3</v>
      </c>
      <c r="S6" s="20" t="str">
        <f ca="1"/>
        <v>1/4</v>
      </c>
      <c r="T6" s="20" t="str">
        <f ca="1"/>
        <v>1/5</v>
      </c>
      <c r="U6" s="20" t="str">
        <f ca="1"/>
        <v>1/6</v>
      </c>
      <c r="V6" s="20">
        <f ca="1"/>
        <v>0</v>
      </c>
      <c r="W6" s="20">
        <f ca="1"/>
        <v>0</v>
      </c>
      <c r="X6" s="20">
        <f ca="1"/>
        <v>0</v>
      </c>
      <c r="Y6" s="20">
        <f ca="1"/>
        <v>0</v>
      </c>
      <c r="Z6" s="20">
        <f ca="1"/>
        <v>0</v>
      </c>
      <c r="AA6" s="20">
        <f ca="1"/>
        <v>0</v>
      </c>
      <c r="AB6" s="20">
        <f ca="1"/>
        <v>0</v>
      </c>
      <c r="AC6" s="21">
        <f ca="1"/>
        <v>0</v>
      </c>
      <c r="AF6" s="45"/>
      <c r="AG6" s="10"/>
      <c r="AH6" s="10"/>
      <c r="AI6" s="10"/>
      <c r="AJ6" s="10"/>
      <c r="AK6" s="10"/>
      <c r="AL6" s="10"/>
      <c r="AM6" s="10"/>
      <c r="AN6" s="10"/>
      <c r="AO6" s="10"/>
      <c r="AP6" s="10"/>
      <c r="AQ6" s="10"/>
      <c r="AR6" s="10"/>
      <c r="AS6" s="10"/>
      <c r="AT6" s="10"/>
      <c r="AU6" s="10"/>
      <c r="AV6" s="10"/>
      <c r="AW6" s="10"/>
      <c r="AX6" s="10"/>
      <c r="AY6" s="46"/>
    </row>
    <row r="7" spans="1:51" x14ac:dyDescent="0.25">
      <c r="A7" s="292" t="str">
        <f>IF('Player Manager'!AT13="","",'Player Manager'!AT11)</f>
        <v>Ed</v>
      </c>
      <c r="B7" s="293"/>
      <c r="C7" s="293"/>
      <c r="D7" s="293"/>
      <c r="E7" s="293"/>
      <c r="F7" s="288">
        <f ca="1">IF(A7="","",'Player Manager'!AT15)</f>
        <v>13</v>
      </c>
      <c r="G7" s="289"/>
      <c r="H7" s="19">
        <f t="array" aca="1" ref="H7:AC7" ca="1">GetCreaturePlayer(F7,PlayerToCreature[])</f>
        <v>12</v>
      </c>
      <c r="I7" s="20">
        <f ca="1"/>
        <v>12</v>
      </c>
      <c r="J7" s="20">
        <f ca="1"/>
        <v>12</v>
      </c>
      <c r="K7" s="20">
        <f ca="1"/>
        <v>9</v>
      </c>
      <c r="L7" s="20">
        <f ca="1"/>
        <v>4</v>
      </c>
      <c r="M7" s="20">
        <f ca="1"/>
        <v>2</v>
      </c>
      <c r="N7" s="20">
        <f ca="1"/>
        <v>2</v>
      </c>
      <c r="O7" s="20">
        <f ca="1"/>
        <v>1</v>
      </c>
      <c r="P7" s="20">
        <f ca="1"/>
        <v>1</v>
      </c>
      <c r="Q7" s="20" t="str">
        <f ca="1"/>
        <v>1/2</v>
      </c>
      <c r="R7" s="20" t="str">
        <f ca="1"/>
        <v>1/2</v>
      </c>
      <c r="S7" s="20" t="str">
        <f ca="1"/>
        <v>1/3</v>
      </c>
      <c r="T7" s="20" t="str">
        <f ca="1"/>
        <v>1/3</v>
      </c>
      <c r="U7" s="20" t="str">
        <f ca="1"/>
        <v>1/4</v>
      </c>
      <c r="V7" s="20" t="str">
        <f ca="1"/>
        <v>1/5</v>
      </c>
      <c r="W7" s="20" t="str">
        <f ca="1"/>
        <v>1/6</v>
      </c>
      <c r="X7" s="20">
        <f ca="1"/>
        <v>0</v>
      </c>
      <c r="Y7" s="20">
        <f ca="1"/>
        <v>0</v>
      </c>
      <c r="Z7" s="20">
        <f ca="1"/>
        <v>0</v>
      </c>
      <c r="AA7" s="20">
        <f ca="1"/>
        <v>0</v>
      </c>
      <c r="AB7" s="20">
        <f ca="1"/>
        <v>0</v>
      </c>
      <c r="AC7" s="21">
        <f ca="1"/>
        <v>0</v>
      </c>
      <c r="AF7" s="45"/>
      <c r="AG7" s="10"/>
      <c r="AH7" s="10"/>
      <c r="AI7" s="10"/>
      <c r="AJ7" s="10"/>
      <c r="AK7" s="10"/>
      <c r="AL7" s="10"/>
      <c r="AM7" s="10"/>
      <c r="AN7" s="10"/>
      <c r="AO7" s="10"/>
      <c r="AP7" s="10"/>
      <c r="AQ7" s="10"/>
      <c r="AR7" s="10"/>
      <c r="AS7" s="10"/>
      <c r="AT7" s="10"/>
      <c r="AU7" s="10"/>
      <c r="AV7" s="10"/>
      <c r="AW7" s="10"/>
      <c r="AX7" s="10"/>
      <c r="AY7" s="46"/>
    </row>
    <row r="8" spans="1:51" x14ac:dyDescent="0.25">
      <c r="A8" s="292" t="str">
        <f>IF('Player Manager'!BC13="","",'Player Manager'!BC11)</f>
        <v/>
      </c>
      <c r="B8" s="293"/>
      <c r="C8" s="293"/>
      <c r="D8" s="293"/>
      <c r="E8" s="293"/>
      <c r="F8" s="288" t="str">
        <f>IF(A8="","",'Player Manager'!BC15)</f>
        <v/>
      </c>
      <c r="G8" s="289"/>
      <c r="H8" s="19" t="str">
        <f t="array" ref="H8:AC8">GetCreaturePlayer(F8,PlayerToCreature[])</f>
        <v/>
      </c>
      <c r="I8" s="20" t="str">
        <v/>
      </c>
      <c r="J8" s="20" t="str">
        <v/>
      </c>
      <c r="K8" s="20" t="str">
        <v/>
      </c>
      <c r="L8" s="20" t="str">
        <v/>
      </c>
      <c r="M8" s="20" t="str">
        <v/>
      </c>
      <c r="N8" s="20" t="str">
        <v/>
      </c>
      <c r="O8" s="20" t="str">
        <v/>
      </c>
      <c r="P8" s="20" t="str">
        <v/>
      </c>
      <c r="Q8" s="20" t="str">
        <v/>
      </c>
      <c r="R8" s="20" t="str">
        <v/>
      </c>
      <c r="S8" s="20" t="str">
        <v/>
      </c>
      <c r="T8" s="20" t="str">
        <v/>
      </c>
      <c r="U8" s="20" t="str">
        <v/>
      </c>
      <c r="V8" s="20" t="str">
        <v/>
      </c>
      <c r="W8" s="20" t="str">
        <v/>
      </c>
      <c r="X8" s="20" t="str">
        <v/>
      </c>
      <c r="Y8" s="20" t="str">
        <v/>
      </c>
      <c r="Z8" s="20" t="str">
        <v/>
      </c>
      <c r="AA8" s="20" t="str">
        <v/>
      </c>
      <c r="AB8" s="20" t="str">
        <v/>
      </c>
      <c r="AC8" s="21" t="str">
        <v/>
      </c>
      <c r="AF8" s="45"/>
      <c r="AG8" s="10"/>
      <c r="AH8" s="10"/>
      <c r="AI8" s="10"/>
      <c r="AJ8" s="10"/>
      <c r="AK8" s="10"/>
      <c r="AL8" s="10"/>
      <c r="AM8" s="10"/>
      <c r="AN8" s="10"/>
      <c r="AO8" s="10"/>
      <c r="AP8" s="10"/>
      <c r="AQ8" s="10"/>
      <c r="AR8" s="10"/>
      <c r="AS8" s="10"/>
      <c r="AT8" s="10"/>
      <c r="AU8" s="10"/>
      <c r="AV8" s="10"/>
      <c r="AW8" s="10"/>
      <c r="AX8" s="10"/>
      <c r="AY8" s="46"/>
    </row>
    <row r="9" spans="1:51" x14ac:dyDescent="0.25">
      <c r="A9" s="292" t="str">
        <f>IF('Player Manager'!BL13="","",'Player Manager'!BL11)</f>
        <v>Gaffa</v>
      </c>
      <c r="B9" s="293"/>
      <c r="C9" s="293"/>
      <c r="D9" s="293"/>
      <c r="E9" s="293"/>
      <c r="F9" s="288">
        <f ca="1">IF(A9="","",'Player Manager'!BL15)</f>
        <v>5</v>
      </c>
      <c r="G9" s="289"/>
      <c r="H9" s="19">
        <f t="array" aca="1" ref="H9:AC9" ca="1">GetCreaturePlayer(F9,PlayerToCreature[])</f>
        <v>12</v>
      </c>
      <c r="I9" s="20">
        <f ca="1"/>
        <v>8</v>
      </c>
      <c r="J9" s="20">
        <f ca="1"/>
        <v>4</v>
      </c>
      <c r="K9" s="20">
        <f ca="1"/>
        <v>2</v>
      </c>
      <c r="L9" s="20">
        <f ca="1"/>
        <v>1</v>
      </c>
      <c r="M9" s="20" t="str">
        <f ca="1"/>
        <v>1/2</v>
      </c>
      <c r="N9" s="20" t="str">
        <f ca="1"/>
        <v>1/3</v>
      </c>
      <c r="O9" s="20" t="str">
        <f ca="1"/>
        <v>1/5</v>
      </c>
      <c r="P9" s="20" t="str">
        <f ca="1"/>
        <v>1/6</v>
      </c>
      <c r="Q9" s="20">
        <f ca="1"/>
        <v>0</v>
      </c>
      <c r="R9" s="20">
        <f ca="1"/>
        <v>0</v>
      </c>
      <c r="S9" s="20">
        <f ca="1"/>
        <v>0</v>
      </c>
      <c r="T9" s="20">
        <f ca="1"/>
        <v>0</v>
      </c>
      <c r="U9" s="20">
        <f ca="1"/>
        <v>0</v>
      </c>
      <c r="V9" s="20">
        <f ca="1"/>
        <v>0</v>
      </c>
      <c r="W9" s="20">
        <f ca="1"/>
        <v>0</v>
      </c>
      <c r="X9" s="20">
        <f ca="1"/>
        <v>0</v>
      </c>
      <c r="Y9" s="20">
        <f ca="1"/>
        <v>0</v>
      </c>
      <c r="Z9" s="20">
        <f ca="1"/>
        <v>0</v>
      </c>
      <c r="AA9" s="20">
        <f ca="1"/>
        <v>0</v>
      </c>
      <c r="AB9" s="20">
        <f ca="1"/>
        <v>0</v>
      </c>
      <c r="AC9" s="21">
        <f ca="1"/>
        <v>0</v>
      </c>
      <c r="AF9" s="45"/>
      <c r="AG9" s="10"/>
      <c r="AH9" s="10"/>
      <c r="AI9" s="10"/>
      <c r="AJ9" s="10"/>
      <c r="AK9" s="10"/>
      <c r="AL9" s="10"/>
      <c r="AM9" s="10"/>
      <c r="AN9" s="10"/>
      <c r="AO9" s="10"/>
      <c r="AP9" s="10"/>
      <c r="AQ9" s="10"/>
      <c r="AR9" s="10"/>
      <c r="AS9" s="10"/>
      <c r="AT9" s="10"/>
      <c r="AU9" s="10"/>
      <c r="AV9" s="10"/>
      <c r="AW9" s="10"/>
      <c r="AX9" s="10"/>
      <c r="AY9" s="46"/>
    </row>
    <row r="10" spans="1:51" x14ac:dyDescent="0.25">
      <c r="A10" s="292" t="str">
        <f>IF('Player Manager'!BU13="","",'Player Manager'!BU11)</f>
        <v/>
      </c>
      <c r="B10" s="293"/>
      <c r="C10" s="293"/>
      <c r="D10" s="293"/>
      <c r="E10" s="293"/>
      <c r="F10" s="288" t="str">
        <f>IF(A10="","",'Player Manager'!BL15)</f>
        <v/>
      </c>
      <c r="G10" s="289"/>
      <c r="H10" s="19" t="str">
        <f t="array" ref="H10:AC10">GetCreaturePlayer(F10,PlayerToCreature[])</f>
        <v/>
      </c>
      <c r="I10" s="20" t="str">
        <v/>
      </c>
      <c r="J10" s="20" t="str">
        <v/>
      </c>
      <c r="K10" s="20" t="str">
        <v/>
      </c>
      <c r="L10" s="20" t="str">
        <v/>
      </c>
      <c r="M10" s="20" t="str">
        <v/>
      </c>
      <c r="N10" s="20" t="str">
        <v/>
      </c>
      <c r="O10" s="20" t="str">
        <v/>
      </c>
      <c r="P10" s="20" t="str">
        <v/>
      </c>
      <c r="Q10" s="20" t="str">
        <v/>
      </c>
      <c r="R10" s="20" t="str">
        <v/>
      </c>
      <c r="S10" s="20" t="str">
        <v/>
      </c>
      <c r="T10" s="20" t="str">
        <v/>
      </c>
      <c r="U10" s="20" t="str">
        <v/>
      </c>
      <c r="V10" s="20" t="str">
        <v/>
      </c>
      <c r="W10" s="20" t="str">
        <v/>
      </c>
      <c r="X10" s="20" t="str">
        <v/>
      </c>
      <c r="Y10" s="20" t="str">
        <v/>
      </c>
      <c r="Z10" s="20" t="str">
        <v/>
      </c>
      <c r="AA10" s="20" t="str">
        <v/>
      </c>
      <c r="AB10" s="20" t="str">
        <v/>
      </c>
      <c r="AC10" s="21" t="str">
        <v/>
      </c>
      <c r="AF10" s="45"/>
      <c r="AG10" s="10"/>
      <c r="AH10" s="10"/>
      <c r="AI10" s="10"/>
      <c r="AJ10" s="10"/>
      <c r="AK10" s="10"/>
      <c r="AL10" s="10"/>
      <c r="AM10" s="10"/>
      <c r="AN10" s="10"/>
      <c r="AO10" s="10"/>
      <c r="AP10" s="10"/>
      <c r="AQ10" s="10"/>
      <c r="AR10" s="10"/>
      <c r="AS10" s="10"/>
      <c r="AT10" s="10"/>
      <c r="AU10" s="10"/>
      <c r="AV10" s="10"/>
      <c r="AW10" s="10"/>
      <c r="AX10" s="10"/>
      <c r="AY10" s="46"/>
    </row>
    <row r="11" spans="1:51" x14ac:dyDescent="0.25">
      <c r="A11" s="292" t="str">
        <f>IF('Player Manager'!CD13="","",'Player Manager'!CD11)</f>
        <v>Irridin</v>
      </c>
      <c r="B11" s="293"/>
      <c r="C11" s="293"/>
      <c r="D11" s="293"/>
      <c r="E11" s="293"/>
      <c r="F11" s="288">
        <f ca="1">IF(A11="","",'Player Manager'!BU15)</f>
        <v>4</v>
      </c>
      <c r="G11" s="289"/>
      <c r="H11" s="19">
        <f t="array" aca="1" ref="H11:AC11" ca="1">GetCreaturePlayer(F11,PlayerToCreature[])</f>
        <v>8</v>
      </c>
      <c r="I11" s="20">
        <f ca="1"/>
        <v>4</v>
      </c>
      <c r="J11" s="20">
        <f ca="1"/>
        <v>2</v>
      </c>
      <c r="K11" s="20">
        <f ca="1"/>
        <v>1</v>
      </c>
      <c r="L11" s="20" t="str">
        <f ca="1"/>
        <v>1/2</v>
      </c>
      <c r="M11" s="20" t="str">
        <f ca="1"/>
        <v>1/4</v>
      </c>
      <c r="N11" s="20" t="str">
        <f ca="1"/>
        <v>1/6</v>
      </c>
      <c r="O11" s="20">
        <f ca="1"/>
        <v>0</v>
      </c>
      <c r="P11" s="20">
        <f ca="1"/>
        <v>0</v>
      </c>
      <c r="Q11" s="20">
        <f ca="1"/>
        <v>0</v>
      </c>
      <c r="R11" s="20">
        <f ca="1"/>
        <v>0</v>
      </c>
      <c r="S11" s="20">
        <f ca="1"/>
        <v>0</v>
      </c>
      <c r="T11" s="20">
        <f ca="1"/>
        <v>0</v>
      </c>
      <c r="U11" s="20">
        <f ca="1"/>
        <v>0</v>
      </c>
      <c r="V11" s="20">
        <f ca="1"/>
        <v>0</v>
      </c>
      <c r="W11" s="20">
        <f ca="1"/>
        <v>0</v>
      </c>
      <c r="X11" s="20">
        <f ca="1"/>
        <v>0</v>
      </c>
      <c r="Y11" s="20">
        <f ca="1"/>
        <v>0</v>
      </c>
      <c r="Z11" s="20">
        <f ca="1"/>
        <v>0</v>
      </c>
      <c r="AA11" s="20">
        <f ca="1"/>
        <v>0</v>
      </c>
      <c r="AB11" s="20">
        <f ca="1"/>
        <v>0</v>
      </c>
      <c r="AC11" s="21">
        <f ca="1"/>
        <v>0</v>
      </c>
      <c r="AF11" s="45"/>
      <c r="AG11" s="10"/>
      <c r="AH11" s="10"/>
      <c r="AI11" s="10"/>
      <c r="AJ11" s="10"/>
      <c r="AK11" s="10"/>
      <c r="AL11" s="10"/>
      <c r="AM11" s="10"/>
      <c r="AN11" s="10"/>
      <c r="AO11" s="10"/>
      <c r="AP11" s="10"/>
      <c r="AQ11" s="10"/>
      <c r="AR11" s="10"/>
      <c r="AS11" s="10"/>
      <c r="AT11" s="10"/>
      <c r="AU11" s="10"/>
      <c r="AV11" s="10"/>
      <c r="AW11" s="10"/>
      <c r="AX11" s="10"/>
      <c r="AY11" s="46"/>
    </row>
    <row r="12" spans="1:51" ht="15.75" thickBot="1" x14ac:dyDescent="0.3">
      <c r="A12" s="294" t="str">
        <f>IF('Player Manager'!CM13="","",'Player Manager'!CM11)</f>
        <v>Jocasta</v>
      </c>
      <c r="B12" s="295"/>
      <c r="C12" s="295"/>
      <c r="D12" s="295"/>
      <c r="E12" s="295"/>
      <c r="F12" s="290">
        <f ca="1">IF(A12="","",'Player Manager'!CD15)</f>
        <v>10</v>
      </c>
      <c r="G12" s="291"/>
      <c r="H12" s="22">
        <f t="array" aca="1" ref="H12:AC12" ca="1">GetCreaturePlayer(F12,PlayerToCreature[])</f>
        <v>12</v>
      </c>
      <c r="I12" s="23">
        <f ca="1"/>
        <v>12</v>
      </c>
      <c r="J12" s="23">
        <f ca="1"/>
        <v>10</v>
      </c>
      <c r="K12" s="23">
        <f ca="1"/>
        <v>5</v>
      </c>
      <c r="L12" s="23">
        <f ca="1"/>
        <v>2</v>
      </c>
      <c r="M12" s="23">
        <f ca="1"/>
        <v>1</v>
      </c>
      <c r="N12" s="23">
        <f ca="1"/>
        <v>1</v>
      </c>
      <c r="O12" s="23" t="str">
        <f ca="1"/>
        <v>1/2</v>
      </c>
      <c r="P12" s="23" t="str">
        <f ca="1"/>
        <v>1/2</v>
      </c>
      <c r="Q12" s="23" t="str">
        <f ca="1"/>
        <v>1/3</v>
      </c>
      <c r="R12" s="23" t="str">
        <f ca="1"/>
        <v>1/4</v>
      </c>
      <c r="S12" s="23" t="str">
        <f ca="1"/>
        <v>1/5</v>
      </c>
      <c r="T12" s="23" t="str">
        <f ca="1"/>
        <v>1/6</v>
      </c>
      <c r="U12" s="23">
        <f ca="1"/>
        <v>0</v>
      </c>
      <c r="V12" s="23">
        <f ca="1"/>
        <v>0</v>
      </c>
      <c r="W12" s="23">
        <f ca="1"/>
        <v>0</v>
      </c>
      <c r="X12" s="23">
        <f ca="1"/>
        <v>0</v>
      </c>
      <c r="Y12" s="23">
        <f ca="1"/>
        <v>0</v>
      </c>
      <c r="Z12" s="23">
        <f ca="1"/>
        <v>0</v>
      </c>
      <c r="AA12" s="23">
        <f ca="1"/>
        <v>0</v>
      </c>
      <c r="AB12" s="23">
        <f ca="1"/>
        <v>0</v>
      </c>
      <c r="AC12" s="24">
        <f ca="1"/>
        <v>0</v>
      </c>
      <c r="AF12" s="43"/>
      <c r="AG12" s="13"/>
      <c r="AH12" s="13"/>
      <c r="AI12" s="13"/>
      <c r="AJ12" s="13"/>
      <c r="AK12" s="13"/>
      <c r="AL12" s="13"/>
      <c r="AM12" s="13"/>
      <c r="AN12" s="13"/>
      <c r="AO12" s="13"/>
      <c r="AP12" s="13"/>
      <c r="AQ12" s="13"/>
      <c r="AR12" s="13"/>
      <c r="AS12" s="13"/>
      <c r="AT12" s="13"/>
      <c r="AU12" s="13"/>
      <c r="AV12" s="13"/>
      <c r="AW12" s="13"/>
      <c r="AX12" s="13"/>
      <c r="AY12" s="44"/>
    </row>
    <row r="13" spans="1:51" ht="15" customHeight="1"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51" ht="15" hidden="1" customHeight="1" x14ac:dyDescent="0.25">
      <c r="A14" s="10"/>
      <c r="B14" s="10"/>
      <c r="C14" s="10"/>
      <c r="D14" s="10"/>
      <c r="E14" s="10"/>
      <c r="F14" s="10"/>
      <c r="G14" s="10"/>
      <c r="H14" s="26">
        <f ca="1">IFERROR(FractionToDecimal(H3),0)</f>
        <v>12</v>
      </c>
      <c r="I14" s="27">
        <f t="shared" ref="I14:AC23" ca="1" si="0">IFERROR(FractionToDecimal(I3),0)</f>
        <v>8</v>
      </c>
      <c r="J14" s="27">
        <f t="shared" ca="1" si="0"/>
        <v>4</v>
      </c>
      <c r="K14" s="27">
        <f t="shared" ca="1" si="0"/>
        <v>2</v>
      </c>
      <c r="L14" s="27">
        <f t="shared" ca="1" si="0"/>
        <v>1</v>
      </c>
      <c r="M14" s="27">
        <f t="shared" ca="1" si="0"/>
        <v>0.5</v>
      </c>
      <c r="N14" s="27">
        <f t="shared" ca="1" si="0"/>
        <v>0.33333333333333331</v>
      </c>
      <c r="O14" s="27">
        <f t="shared" ca="1" si="0"/>
        <v>0.2</v>
      </c>
      <c r="P14" s="27">
        <f t="shared" ca="1" si="0"/>
        <v>0.16666666666666666</v>
      </c>
      <c r="Q14" s="27">
        <f t="shared" ca="1" si="0"/>
        <v>0</v>
      </c>
      <c r="R14" s="27">
        <f t="shared" ca="1" si="0"/>
        <v>0</v>
      </c>
      <c r="S14" s="27">
        <f t="shared" ca="1" si="0"/>
        <v>0</v>
      </c>
      <c r="T14" s="27">
        <f t="shared" ca="1" si="0"/>
        <v>0</v>
      </c>
      <c r="U14" s="27">
        <f t="shared" ca="1" si="0"/>
        <v>0</v>
      </c>
      <c r="V14" s="27">
        <f t="shared" ca="1" si="0"/>
        <v>0</v>
      </c>
      <c r="W14" s="27">
        <f t="shared" ca="1" si="0"/>
        <v>0</v>
      </c>
      <c r="X14" s="27">
        <f t="shared" ca="1" si="0"/>
        <v>0</v>
      </c>
      <c r="Y14" s="27">
        <f t="shared" ca="1" si="0"/>
        <v>0</v>
      </c>
      <c r="Z14" s="27">
        <f t="shared" ca="1" si="0"/>
        <v>0</v>
      </c>
      <c r="AA14" s="27">
        <f t="shared" ca="1" si="0"/>
        <v>0</v>
      </c>
      <c r="AB14" s="27">
        <f t="shared" ca="1" si="0"/>
        <v>0</v>
      </c>
      <c r="AC14" s="28">
        <f t="shared" ca="1" si="0"/>
        <v>0</v>
      </c>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ht="15" hidden="1" customHeight="1" x14ac:dyDescent="0.25">
      <c r="A15" s="10"/>
      <c r="B15" s="10"/>
      <c r="C15" s="10"/>
      <c r="D15" s="10"/>
      <c r="E15" s="10"/>
      <c r="F15" s="10"/>
      <c r="G15" s="10"/>
      <c r="H15" s="19">
        <f t="shared" ref="H15:W23" ca="1" si="1">IFERROR(FractionToDecimal(H4),0)</f>
        <v>2</v>
      </c>
      <c r="I15" s="20">
        <f t="shared" ca="1" si="1"/>
        <v>1</v>
      </c>
      <c r="J15" s="20">
        <f t="shared" ca="1" si="1"/>
        <v>0.33333333333333331</v>
      </c>
      <c r="K15" s="20">
        <f t="shared" ca="1" si="1"/>
        <v>0.2</v>
      </c>
      <c r="L15" s="20">
        <f t="shared" ca="1" si="1"/>
        <v>0</v>
      </c>
      <c r="M15" s="20">
        <f t="shared" ca="1" si="1"/>
        <v>0</v>
      </c>
      <c r="N15" s="20">
        <f t="shared" ca="1" si="1"/>
        <v>0</v>
      </c>
      <c r="O15" s="20">
        <f t="shared" ca="1" si="1"/>
        <v>0</v>
      </c>
      <c r="P15" s="20">
        <f t="shared" ca="1" si="1"/>
        <v>0</v>
      </c>
      <c r="Q15" s="20">
        <f t="shared" ca="1" si="1"/>
        <v>0</v>
      </c>
      <c r="R15" s="20">
        <f t="shared" ca="1" si="1"/>
        <v>0</v>
      </c>
      <c r="S15" s="20">
        <f t="shared" ca="1" si="1"/>
        <v>0</v>
      </c>
      <c r="T15" s="20">
        <f t="shared" ca="1" si="1"/>
        <v>0</v>
      </c>
      <c r="U15" s="20">
        <f t="shared" ca="1" si="1"/>
        <v>0</v>
      </c>
      <c r="V15" s="20">
        <f t="shared" ca="1" si="1"/>
        <v>0</v>
      </c>
      <c r="W15" s="20">
        <f t="shared" ca="1" si="1"/>
        <v>0</v>
      </c>
      <c r="X15" s="20">
        <f t="shared" ca="1" si="0"/>
        <v>0</v>
      </c>
      <c r="Y15" s="20">
        <f t="shared" ca="1" si="0"/>
        <v>0</v>
      </c>
      <c r="Z15" s="20">
        <f t="shared" ca="1" si="0"/>
        <v>0</v>
      </c>
      <c r="AA15" s="20">
        <f t="shared" ca="1" si="0"/>
        <v>0</v>
      </c>
      <c r="AB15" s="20">
        <f t="shared" ca="1" si="0"/>
        <v>0</v>
      </c>
      <c r="AC15" s="21">
        <f t="shared" ca="1" si="0"/>
        <v>0</v>
      </c>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ht="15" hidden="1" customHeight="1" x14ac:dyDescent="0.25">
      <c r="A16" s="10"/>
      <c r="B16" s="10"/>
      <c r="C16" s="10"/>
      <c r="D16" s="10"/>
      <c r="E16" s="10"/>
      <c r="F16" s="10"/>
      <c r="G16" s="10"/>
      <c r="H16" s="19">
        <f t="shared" ca="1" si="1"/>
        <v>5</v>
      </c>
      <c r="I16" s="20">
        <f t="shared" ca="1" si="0"/>
        <v>2</v>
      </c>
      <c r="J16" s="20">
        <f t="shared" ca="1" si="0"/>
        <v>1</v>
      </c>
      <c r="K16" s="20">
        <f t="shared" ca="1" si="0"/>
        <v>0.5</v>
      </c>
      <c r="L16" s="20">
        <f t="shared" ca="1" si="0"/>
        <v>0.25</v>
      </c>
      <c r="M16" s="20">
        <f t="shared" ca="1" si="0"/>
        <v>0.16666666666666666</v>
      </c>
      <c r="N16" s="20">
        <f t="shared" ca="1" si="0"/>
        <v>0</v>
      </c>
      <c r="O16" s="20">
        <f t="shared" ca="1" si="0"/>
        <v>0</v>
      </c>
      <c r="P16" s="20">
        <f t="shared" ca="1" si="0"/>
        <v>0</v>
      </c>
      <c r="Q16" s="20">
        <f t="shared" ca="1" si="0"/>
        <v>0</v>
      </c>
      <c r="R16" s="20">
        <f t="shared" ca="1" si="0"/>
        <v>0</v>
      </c>
      <c r="S16" s="20">
        <f t="shared" ca="1" si="0"/>
        <v>0</v>
      </c>
      <c r="T16" s="20">
        <f t="shared" ca="1" si="0"/>
        <v>0</v>
      </c>
      <c r="U16" s="20">
        <f t="shared" ca="1" si="0"/>
        <v>0</v>
      </c>
      <c r="V16" s="20">
        <f t="shared" ca="1" si="0"/>
        <v>0</v>
      </c>
      <c r="W16" s="20">
        <f t="shared" ca="1" si="0"/>
        <v>0</v>
      </c>
      <c r="X16" s="20">
        <f t="shared" ca="1" si="0"/>
        <v>0</v>
      </c>
      <c r="Y16" s="20">
        <f t="shared" ca="1" si="0"/>
        <v>0</v>
      </c>
      <c r="Z16" s="20">
        <f t="shared" ca="1" si="0"/>
        <v>0</v>
      </c>
      <c r="AA16" s="20">
        <f t="shared" ca="1" si="0"/>
        <v>0</v>
      </c>
      <c r="AB16" s="20">
        <f t="shared" ca="1" si="0"/>
        <v>0</v>
      </c>
      <c r="AC16" s="21">
        <f t="shared" ca="1" si="0"/>
        <v>0</v>
      </c>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ht="15" hidden="1" customHeight="1" x14ac:dyDescent="0.25">
      <c r="A17" s="10"/>
      <c r="B17" s="10"/>
      <c r="C17" s="10"/>
      <c r="D17" s="10"/>
      <c r="E17" s="10"/>
      <c r="F17" s="10"/>
      <c r="G17" s="10"/>
      <c r="H17" s="19">
        <f t="shared" ca="1" si="1"/>
        <v>12</v>
      </c>
      <c r="I17" s="20">
        <f t="shared" ca="1" si="0"/>
        <v>12</v>
      </c>
      <c r="J17" s="20">
        <f t="shared" ca="1" si="0"/>
        <v>12</v>
      </c>
      <c r="K17" s="20">
        <f t="shared" ca="1" si="0"/>
        <v>6</v>
      </c>
      <c r="L17" s="20">
        <f t="shared" ca="1" si="0"/>
        <v>3</v>
      </c>
      <c r="M17" s="20">
        <f t="shared" ca="1" si="0"/>
        <v>2</v>
      </c>
      <c r="N17" s="20">
        <f t="shared" ca="1" si="0"/>
        <v>1</v>
      </c>
      <c r="O17" s="20">
        <f t="shared" ca="1" si="0"/>
        <v>0.5</v>
      </c>
      <c r="P17" s="20">
        <f t="shared" ca="1" si="0"/>
        <v>0.5</v>
      </c>
      <c r="Q17" s="20">
        <f t="shared" ca="1" si="0"/>
        <v>0.5</v>
      </c>
      <c r="R17" s="20">
        <f t="shared" ca="1" si="0"/>
        <v>0.33333333333333331</v>
      </c>
      <c r="S17" s="20">
        <f t="shared" ca="1" si="0"/>
        <v>0.25</v>
      </c>
      <c r="T17" s="20">
        <f t="shared" ca="1" si="0"/>
        <v>0.2</v>
      </c>
      <c r="U17" s="20">
        <f t="shared" ca="1" si="0"/>
        <v>0.16666666666666666</v>
      </c>
      <c r="V17" s="20">
        <f t="shared" ca="1" si="0"/>
        <v>0</v>
      </c>
      <c r="W17" s="20">
        <f t="shared" ca="1" si="0"/>
        <v>0</v>
      </c>
      <c r="X17" s="20">
        <f t="shared" ca="1" si="0"/>
        <v>0</v>
      </c>
      <c r="Y17" s="20">
        <f t="shared" ca="1" si="0"/>
        <v>0</v>
      </c>
      <c r="Z17" s="20">
        <f t="shared" ca="1" si="0"/>
        <v>0</v>
      </c>
      <c r="AA17" s="20">
        <f t="shared" ca="1" si="0"/>
        <v>0</v>
      </c>
      <c r="AB17" s="20">
        <f t="shared" ca="1" si="0"/>
        <v>0</v>
      </c>
      <c r="AC17" s="21">
        <f t="shared" ca="1" si="0"/>
        <v>0</v>
      </c>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ht="15" hidden="1" customHeight="1" x14ac:dyDescent="0.25">
      <c r="A18" s="10"/>
      <c r="B18" s="10"/>
      <c r="C18" s="10"/>
      <c r="D18" s="10"/>
      <c r="E18" s="10"/>
      <c r="F18" s="10"/>
      <c r="G18" s="10"/>
      <c r="H18" s="19">
        <f t="shared" ca="1" si="1"/>
        <v>12</v>
      </c>
      <c r="I18" s="20">
        <f t="shared" ca="1" si="0"/>
        <v>12</v>
      </c>
      <c r="J18" s="20">
        <f t="shared" ca="1" si="0"/>
        <v>12</v>
      </c>
      <c r="K18" s="20">
        <f t="shared" ca="1" si="0"/>
        <v>9</v>
      </c>
      <c r="L18" s="20">
        <f t="shared" ca="1" si="0"/>
        <v>4</v>
      </c>
      <c r="M18" s="20">
        <f t="shared" ca="1" si="0"/>
        <v>2</v>
      </c>
      <c r="N18" s="20">
        <f t="shared" ca="1" si="0"/>
        <v>2</v>
      </c>
      <c r="O18" s="20">
        <f t="shared" ca="1" si="0"/>
        <v>1</v>
      </c>
      <c r="P18" s="20">
        <f t="shared" ca="1" si="0"/>
        <v>1</v>
      </c>
      <c r="Q18" s="20">
        <f t="shared" ca="1" si="0"/>
        <v>0.5</v>
      </c>
      <c r="R18" s="20">
        <f t="shared" ca="1" si="0"/>
        <v>0.5</v>
      </c>
      <c r="S18" s="20">
        <f t="shared" ca="1" si="0"/>
        <v>0.33333333333333331</v>
      </c>
      <c r="T18" s="20">
        <f t="shared" ca="1" si="0"/>
        <v>0.33333333333333331</v>
      </c>
      <c r="U18" s="20">
        <f t="shared" ca="1" si="0"/>
        <v>0.25</v>
      </c>
      <c r="V18" s="20">
        <f t="shared" ca="1" si="0"/>
        <v>0.2</v>
      </c>
      <c r="W18" s="20">
        <f t="shared" ca="1" si="0"/>
        <v>0.16666666666666666</v>
      </c>
      <c r="X18" s="20">
        <f t="shared" ca="1" si="0"/>
        <v>0</v>
      </c>
      <c r="Y18" s="20">
        <f t="shared" ca="1" si="0"/>
        <v>0</v>
      </c>
      <c r="Z18" s="20">
        <f t="shared" ca="1" si="0"/>
        <v>0</v>
      </c>
      <c r="AA18" s="20">
        <f t="shared" ca="1" si="0"/>
        <v>0</v>
      </c>
      <c r="AB18" s="20">
        <f t="shared" ca="1" si="0"/>
        <v>0</v>
      </c>
      <c r="AC18" s="21">
        <f t="shared" ca="1" si="0"/>
        <v>0</v>
      </c>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ht="15" hidden="1" customHeight="1" x14ac:dyDescent="0.25">
      <c r="A19" s="10"/>
      <c r="B19" s="10"/>
      <c r="C19" s="10"/>
      <c r="D19" s="10"/>
      <c r="E19" s="10"/>
      <c r="F19" s="10"/>
      <c r="G19" s="10"/>
      <c r="H19" s="19">
        <f t="shared" si="1"/>
        <v>0</v>
      </c>
      <c r="I19" s="20">
        <f t="shared" si="0"/>
        <v>0</v>
      </c>
      <c r="J19" s="20">
        <f t="shared" si="0"/>
        <v>0</v>
      </c>
      <c r="K19" s="20">
        <f t="shared" si="0"/>
        <v>0</v>
      </c>
      <c r="L19" s="20">
        <f t="shared" si="0"/>
        <v>0</v>
      </c>
      <c r="M19" s="20">
        <f t="shared" si="0"/>
        <v>0</v>
      </c>
      <c r="N19" s="20">
        <f t="shared" si="0"/>
        <v>0</v>
      </c>
      <c r="O19" s="20">
        <f t="shared" si="0"/>
        <v>0</v>
      </c>
      <c r="P19" s="20">
        <f t="shared" si="0"/>
        <v>0</v>
      </c>
      <c r="Q19" s="20">
        <f t="shared" si="0"/>
        <v>0</v>
      </c>
      <c r="R19" s="20">
        <f t="shared" si="0"/>
        <v>0</v>
      </c>
      <c r="S19" s="20">
        <f t="shared" si="0"/>
        <v>0</v>
      </c>
      <c r="T19" s="20">
        <f t="shared" si="0"/>
        <v>0</v>
      </c>
      <c r="U19" s="20">
        <f t="shared" si="0"/>
        <v>0</v>
      </c>
      <c r="V19" s="20">
        <f t="shared" si="0"/>
        <v>0</v>
      </c>
      <c r="W19" s="20">
        <f t="shared" si="0"/>
        <v>0</v>
      </c>
      <c r="X19" s="20">
        <f t="shared" si="0"/>
        <v>0</v>
      </c>
      <c r="Y19" s="20">
        <f t="shared" si="0"/>
        <v>0</v>
      </c>
      <c r="Z19" s="20">
        <f t="shared" si="0"/>
        <v>0</v>
      </c>
      <c r="AA19" s="20">
        <f t="shared" si="0"/>
        <v>0</v>
      </c>
      <c r="AB19" s="20">
        <f t="shared" si="0"/>
        <v>0</v>
      </c>
      <c r="AC19" s="21">
        <f t="shared" si="0"/>
        <v>0</v>
      </c>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ht="15" hidden="1" customHeight="1" x14ac:dyDescent="0.25">
      <c r="A20" s="10"/>
      <c r="B20" s="10"/>
      <c r="C20" s="10"/>
      <c r="D20" s="10"/>
      <c r="E20" s="10"/>
      <c r="F20" s="10"/>
      <c r="G20" s="10"/>
      <c r="H20" s="19">
        <f t="shared" ca="1" si="1"/>
        <v>12</v>
      </c>
      <c r="I20" s="20">
        <f t="shared" ca="1" si="0"/>
        <v>8</v>
      </c>
      <c r="J20" s="20">
        <f t="shared" ca="1" si="0"/>
        <v>4</v>
      </c>
      <c r="K20" s="20">
        <f t="shared" ca="1" si="0"/>
        <v>2</v>
      </c>
      <c r="L20" s="20">
        <f t="shared" ca="1" si="0"/>
        <v>1</v>
      </c>
      <c r="M20" s="20">
        <f t="shared" ca="1" si="0"/>
        <v>0.5</v>
      </c>
      <c r="N20" s="20">
        <f t="shared" ca="1" si="0"/>
        <v>0.33333333333333331</v>
      </c>
      <c r="O20" s="20">
        <f t="shared" ca="1" si="0"/>
        <v>0.2</v>
      </c>
      <c r="P20" s="20">
        <f t="shared" ca="1" si="0"/>
        <v>0.16666666666666666</v>
      </c>
      <c r="Q20" s="20">
        <f t="shared" ca="1" si="0"/>
        <v>0</v>
      </c>
      <c r="R20" s="20">
        <f t="shared" ca="1" si="0"/>
        <v>0</v>
      </c>
      <c r="S20" s="20">
        <f t="shared" ca="1" si="0"/>
        <v>0</v>
      </c>
      <c r="T20" s="20">
        <f t="shared" ca="1" si="0"/>
        <v>0</v>
      </c>
      <c r="U20" s="20">
        <f t="shared" ca="1" si="0"/>
        <v>0</v>
      </c>
      <c r="V20" s="20">
        <f t="shared" ca="1" si="0"/>
        <v>0</v>
      </c>
      <c r="W20" s="20">
        <f t="shared" ca="1" si="0"/>
        <v>0</v>
      </c>
      <c r="X20" s="20">
        <f t="shared" ca="1" si="0"/>
        <v>0</v>
      </c>
      <c r="Y20" s="20">
        <f t="shared" ca="1" si="0"/>
        <v>0</v>
      </c>
      <c r="Z20" s="20">
        <f t="shared" ca="1" si="0"/>
        <v>0</v>
      </c>
      <c r="AA20" s="20">
        <f t="shared" ca="1" si="0"/>
        <v>0</v>
      </c>
      <c r="AB20" s="20">
        <f t="shared" ca="1" si="0"/>
        <v>0</v>
      </c>
      <c r="AC20" s="21">
        <f t="shared" ca="1" si="0"/>
        <v>0</v>
      </c>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ht="15" hidden="1" customHeight="1" x14ac:dyDescent="0.25">
      <c r="A21" s="10"/>
      <c r="B21" s="10"/>
      <c r="C21" s="10"/>
      <c r="D21" s="10"/>
      <c r="E21" s="10"/>
      <c r="F21" s="10"/>
      <c r="G21" s="10"/>
      <c r="H21" s="19">
        <f t="shared" si="1"/>
        <v>0</v>
      </c>
      <c r="I21" s="20">
        <f t="shared" si="0"/>
        <v>0</v>
      </c>
      <c r="J21" s="20">
        <f t="shared" si="0"/>
        <v>0</v>
      </c>
      <c r="K21" s="20">
        <f t="shared" si="0"/>
        <v>0</v>
      </c>
      <c r="L21" s="20">
        <f t="shared" si="0"/>
        <v>0</v>
      </c>
      <c r="M21" s="20">
        <f t="shared" si="0"/>
        <v>0</v>
      </c>
      <c r="N21" s="20">
        <f t="shared" si="0"/>
        <v>0</v>
      </c>
      <c r="O21" s="20">
        <f t="shared" si="0"/>
        <v>0</v>
      </c>
      <c r="P21" s="20">
        <f t="shared" si="0"/>
        <v>0</v>
      </c>
      <c r="Q21" s="20">
        <f t="shared" si="0"/>
        <v>0</v>
      </c>
      <c r="R21" s="20">
        <f t="shared" si="0"/>
        <v>0</v>
      </c>
      <c r="S21" s="20">
        <f t="shared" si="0"/>
        <v>0</v>
      </c>
      <c r="T21" s="20">
        <f t="shared" si="0"/>
        <v>0</v>
      </c>
      <c r="U21" s="20">
        <f t="shared" si="0"/>
        <v>0</v>
      </c>
      <c r="V21" s="20">
        <f t="shared" si="0"/>
        <v>0</v>
      </c>
      <c r="W21" s="20">
        <f t="shared" si="0"/>
        <v>0</v>
      </c>
      <c r="X21" s="20">
        <f t="shared" si="0"/>
        <v>0</v>
      </c>
      <c r="Y21" s="20">
        <f t="shared" si="0"/>
        <v>0</v>
      </c>
      <c r="Z21" s="20">
        <f t="shared" si="0"/>
        <v>0</v>
      </c>
      <c r="AA21" s="20">
        <f t="shared" si="0"/>
        <v>0</v>
      </c>
      <c r="AB21" s="20">
        <f t="shared" si="0"/>
        <v>0</v>
      </c>
      <c r="AC21" s="21">
        <f t="shared" si="0"/>
        <v>0</v>
      </c>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ht="15" hidden="1" customHeight="1" x14ac:dyDescent="0.25">
      <c r="A22" s="10"/>
      <c r="B22" s="10"/>
      <c r="C22" s="10"/>
      <c r="D22" s="10"/>
      <c r="E22" s="10"/>
      <c r="F22" s="10"/>
      <c r="G22" s="10"/>
      <c r="H22" s="19">
        <f t="shared" ca="1" si="1"/>
        <v>8</v>
      </c>
      <c r="I22" s="20">
        <f t="shared" ca="1" si="0"/>
        <v>4</v>
      </c>
      <c r="J22" s="20">
        <f t="shared" ca="1" si="0"/>
        <v>2</v>
      </c>
      <c r="K22" s="20">
        <f t="shared" ca="1" si="0"/>
        <v>1</v>
      </c>
      <c r="L22" s="20">
        <f t="shared" ca="1" si="0"/>
        <v>0.5</v>
      </c>
      <c r="M22" s="20">
        <f t="shared" ca="1" si="0"/>
        <v>0.25</v>
      </c>
      <c r="N22" s="20">
        <f t="shared" ca="1" si="0"/>
        <v>0.16666666666666666</v>
      </c>
      <c r="O22" s="20">
        <f t="shared" ca="1" si="0"/>
        <v>0</v>
      </c>
      <c r="P22" s="20">
        <f t="shared" ca="1" si="0"/>
        <v>0</v>
      </c>
      <c r="Q22" s="20">
        <f t="shared" ca="1" si="0"/>
        <v>0</v>
      </c>
      <c r="R22" s="20">
        <f t="shared" ca="1" si="0"/>
        <v>0</v>
      </c>
      <c r="S22" s="20">
        <f t="shared" ca="1" si="0"/>
        <v>0</v>
      </c>
      <c r="T22" s="20">
        <f t="shared" ca="1" si="0"/>
        <v>0</v>
      </c>
      <c r="U22" s="20">
        <f t="shared" ca="1" si="0"/>
        <v>0</v>
      </c>
      <c r="V22" s="20">
        <f t="shared" ca="1" si="0"/>
        <v>0</v>
      </c>
      <c r="W22" s="20">
        <f t="shared" ca="1" si="0"/>
        <v>0</v>
      </c>
      <c r="X22" s="20">
        <f t="shared" ca="1" si="0"/>
        <v>0</v>
      </c>
      <c r="Y22" s="20">
        <f t="shared" ca="1" si="0"/>
        <v>0</v>
      </c>
      <c r="Z22" s="20">
        <f t="shared" ca="1" si="0"/>
        <v>0</v>
      </c>
      <c r="AA22" s="20">
        <f t="shared" ca="1" si="0"/>
        <v>0</v>
      </c>
      <c r="AB22" s="20">
        <f t="shared" ca="1" si="0"/>
        <v>0</v>
      </c>
      <c r="AC22" s="21">
        <f t="shared" ca="1" si="0"/>
        <v>0</v>
      </c>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ht="15" hidden="1" customHeight="1" thickBot="1" x14ac:dyDescent="0.3">
      <c r="A23" s="10"/>
      <c r="B23" s="10"/>
      <c r="C23" s="10"/>
      <c r="D23" s="10"/>
      <c r="E23" s="10"/>
      <c r="F23" s="10"/>
      <c r="G23" s="10"/>
      <c r="H23" s="22">
        <f t="shared" ca="1" si="1"/>
        <v>12</v>
      </c>
      <c r="I23" s="23">
        <f t="shared" ca="1" si="0"/>
        <v>12</v>
      </c>
      <c r="J23" s="23">
        <f t="shared" ca="1" si="0"/>
        <v>10</v>
      </c>
      <c r="K23" s="23">
        <f t="shared" ca="1" si="0"/>
        <v>5</v>
      </c>
      <c r="L23" s="23">
        <f t="shared" ca="1" si="0"/>
        <v>2</v>
      </c>
      <c r="M23" s="23">
        <f t="shared" ca="1" si="0"/>
        <v>1</v>
      </c>
      <c r="N23" s="23">
        <f t="shared" ca="1" si="0"/>
        <v>1</v>
      </c>
      <c r="O23" s="23">
        <f t="shared" ca="1" si="0"/>
        <v>0.5</v>
      </c>
      <c r="P23" s="23">
        <f t="shared" ca="1" si="0"/>
        <v>0.5</v>
      </c>
      <c r="Q23" s="23">
        <f t="shared" ca="1" si="0"/>
        <v>0.33333333333333331</v>
      </c>
      <c r="R23" s="23">
        <f t="shared" ca="1" si="0"/>
        <v>0.25</v>
      </c>
      <c r="S23" s="23">
        <f t="shared" ca="1" si="0"/>
        <v>0.2</v>
      </c>
      <c r="T23" s="23">
        <f t="shared" ca="1" si="0"/>
        <v>0.16666666666666666</v>
      </c>
      <c r="U23" s="23">
        <f t="shared" ca="1" si="0"/>
        <v>0</v>
      </c>
      <c r="V23" s="23">
        <f t="shared" ca="1" si="0"/>
        <v>0</v>
      </c>
      <c r="W23" s="23">
        <f t="shared" ca="1" si="0"/>
        <v>0</v>
      </c>
      <c r="X23" s="23">
        <f t="shared" ca="1" si="0"/>
        <v>0</v>
      </c>
      <c r="Y23" s="23">
        <f t="shared" ca="1" si="0"/>
        <v>0</v>
      </c>
      <c r="Z23" s="23">
        <f t="shared" ca="1" si="0"/>
        <v>0</v>
      </c>
      <c r="AA23" s="23">
        <f t="shared" ca="1" si="0"/>
        <v>0</v>
      </c>
      <c r="AB23" s="23">
        <f t="shared" ca="1" si="0"/>
        <v>0</v>
      </c>
      <c r="AC23" s="24">
        <f t="shared" ca="1" si="0"/>
        <v>0</v>
      </c>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ht="15" hidden="1" customHeight="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ht="15" customHeight="1" thickBot="1" x14ac:dyDescent="0.3">
      <c r="H25" s="312" t="s">
        <v>24</v>
      </c>
      <c r="I25" s="313"/>
      <c r="J25" s="312" t="s">
        <v>25</v>
      </c>
      <c r="K25" s="313"/>
      <c r="L25" s="312" t="s">
        <v>26</v>
      </c>
      <c r="M25" s="313"/>
      <c r="N25" s="312">
        <v>1</v>
      </c>
      <c r="O25" s="313"/>
      <c r="P25" s="312">
        <v>2</v>
      </c>
      <c r="Q25" s="313"/>
      <c r="R25" s="312">
        <v>3</v>
      </c>
      <c r="S25" s="313"/>
      <c r="T25" s="312">
        <v>4</v>
      </c>
      <c r="U25" s="313"/>
      <c r="V25" s="312">
        <v>5</v>
      </c>
      <c r="W25" s="313"/>
      <c r="X25" s="312">
        <v>7</v>
      </c>
      <c r="Y25" s="313"/>
      <c r="Z25" s="312">
        <v>8</v>
      </c>
      <c r="AA25" s="313"/>
      <c r="AB25" s="312">
        <v>9</v>
      </c>
      <c r="AC25" s="313"/>
      <c r="AD25" s="312">
        <v>10</v>
      </c>
      <c r="AE25" s="313"/>
      <c r="AF25" s="312">
        <v>11</v>
      </c>
      <c r="AG25" s="313"/>
      <c r="AH25" s="312">
        <v>12</v>
      </c>
      <c r="AI25" s="313"/>
      <c r="AJ25" s="312">
        <v>13</v>
      </c>
      <c r="AK25" s="313"/>
      <c r="AL25" s="312">
        <v>14</v>
      </c>
      <c r="AM25" s="313"/>
      <c r="AN25" s="312">
        <v>15</v>
      </c>
      <c r="AO25" s="313"/>
      <c r="AP25" s="312">
        <v>16</v>
      </c>
      <c r="AQ25" s="313"/>
      <c r="AR25" s="312">
        <v>17</v>
      </c>
      <c r="AS25" s="313"/>
      <c r="AT25" s="312">
        <v>18</v>
      </c>
      <c r="AU25" s="313"/>
      <c r="AV25" s="312">
        <v>19</v>
      </c>
      <c r="AW25" s="313"/>
      <c r="AX25" s="312">
        <v>20</v>
      </c>
      <c r="AY25" s="313"/>
    </row>
    <row r="26" spans="1:51" ht="15" customHeight="1" thickBot="1" x14ac:dyDescent="0.3">
      <c r="A26" s="311" t="s">
        <v>387</v>
      </c>
      <c r="B26" s="311"/>
      <c r="C26" s="311"/>
      <c r="D26" s="311"/>
      <c r="E26" s="311"/>
      <c r="F26" s="311"/>
      <c r="G26" s="322"/>
      <c r="H26" s="314">
        <f ca="1">SUM(H14:H23)</f>
        <v>75</v>
      </c>
      <c r="I26" s="315"/>
      <c r="J26" s="316">
        <f ca="1">SUM(I14:I23)</f>
        <v>59</v>
      </c>
      <c r="K26" s="315"/>
      <c r="L26" s="316">
        <f ca="1">SUM(J14:J23)</f>
        <v>45.333333333333329</v>
      </c>
      <c r="M26" s="315"/>
      <c r="N26" s="316">
        <f ca="1">SUM(K14:K23)</f>
        <v>25.7</v>
      </c>
      <c r="O26" s="315"/>
      <c r="P26" s="316">
        <f ca="1">SUM(L14:L23)</f>
        <v>11.75</v>
      </c>
      <c r="Q26" s="315"/>
      <c r="R26" s="316">
        <f ca="1">SUM(M14:M23)</f>
        <v>6.4166666666666661</v>
      </c>
      <c r="S26" s="315"/>
      <c r="T26" s="316">
        <f ca="1">SUM(N14:N23)</f>
        <v>4.833333333333333</v>
      </c>
      <c r="U26" s="315"/>
      <c r="V26" s="316">
        <f ca="1">SUM(O14:O23)</f>
        <v>2.4</v>
      </c>
      <c r="W26" s="315"/>
      <c r="X26" s="316">
        <f ca="1">SUM(P14:P23)</f>
        <v>2.333333333333333</v>
      </c>
      <c r="Y26" s="315"/>
      <c r="Z26" s="316">
        <f ca="1">SUM(Q14:Q23)</f>
        <v>1.3333333333333333</v>
      </c>
      <c r="AA26" s="315"/>
      <c r="AB26" s="316">
        <f ca="1">SUM(R14:R23)</f>
        <v>1.0833333333333333</v>
      </c>
      <c r="AC26" s="315"/>
      <c r="AD26" s="316">
        <f ca="1">SUM(S14:S23)</f>
        <v>0.78333333333333321</v>
      </c>
      <c r="AE26" s="315"/>
      <c r="AF26" s="316">
        <f ca="1">SUM(T14:T23)</f>
        <v>0.7</v>
      </c>
      <c r="AG26" s="315"/>
      <c r="AH26" s="316">
        <f ca="1">SUM(U14:U23)</f>
        <v>0.41666666666666663</v>
      </c>
      <c r="AI26" s="315"/>
      <c r="AJ26" s="316">
        <f ca="1">SUM(V14:V23)</f>
        <v>0.2</v>
      </c>
      <c r="AK26" s="315"/>
      <c r="AL26" s="316">
        <f ca="1">SUM(W14:W23)</f>
        <v>0.16666666666666666</v>
      </c>
      <c r="AM26" s="315"/>
      <c r="AN26" s="316">
        <f ca="1">SUM(X14:X23)</f>
        <v>0</v>
      </c>
      <c r="AO26" s="315"/>
      <c r="AP26" s="316">
        <f ca="1">SUM(Y14:Y23)</f>
        <v>0</v>
      </c>
      <c r="AQ26" s="315"/>
      <c r="AR26" s="316">
        <f ca="1">SUM(Z14:Z23)</f>
        <v>0</v>
      </c>
      <c r="AS26" s="315"/>
      <c r="AT26" s="316">
        <f ca="1">SUM(AA14:AA23)</f>
        <v>0</v>
      </c>
      <c r="AU26" s="315"/>
      <c r="AV26" s="316">
        <f ca="1">SUM(AB14:AB23)</f>
        <v>0</v>
      </c>
      <c r="AW26" s="315"/>
      <c r="AX26" s="316">
        <f ca="1">SUM(AC14:AC23)</f>
        <v>0</v>
      </c>
      <c r="AY26" s="321"/>
    </row>
    <row r="27" spans="1:51" ht="15" hidden="1" customHeight="1" thickBot="1" x14ac:dyDescent="0.3">
      <c r="A27" s="323" t="s">
        <v>388</v>
      </c>
      <c r="B27" s="323"/>
      <c r="C27" s="323"/>
      <c r="D27" s="323"/>
      <c r="E27" s="323"/>
      <c r="F27" s="323"/>
      <c r="G27" s="323"/>
      <c r="H27" s="314">
        <f ca="1">IFERROR($H$26/H26,$H$26)</f>
        <v>1</v>
      </c>
      <c r="I27" s="315"/>
      <c r="J27" s="316">
        <f ca="1">IFERROR($H$26/J26,$H$26)</f>
        <v>1.271186440677966</v>
      </c>
      <c r="K27" s="315"/>
      <c r="L27" s="316">
        <f ca="1">IFERROR($H$26/L26,$H$26)</f>
        <v>1.6544117647058825</v>
      </c>
      <c r="M27" s="315"/>
      <c r="N27" s="316">
        <f t="shared" ref="N27" ca="1" si="2">IFERROR($H$26/N26,$H$26)</f>
        <v>2.918287937743191</v>
      </c>
      <c r="O27" s="315"/>
      <c r="P27" s="316">
        <f t="shared" ref="P27" ca="1" si="3">IFERROR($H$26/P26,$H$26)</f>
        <v>6.3829787234042552</v>
      </c>
      <c r="Q27" s="315"/>
      <c r="R27" s="316">
        <f t="shared" ref="R27" ca="1" si="4">IFERROR($H$26/R26,$H$26)</f>
        <v>11.688311688311689</v>
      </c>
      <c r="S27" s="315"/>
      <c r="T27" s="316">
        <f t="shared" ref="T27" ca="1" si="5">IFERROR($H$26/T26,$H$26)</f>
        <v>15.517241379310345</v>
      </c>
      <c r="U27" s="315"/>
      <c r="V27" s="316">
        <f t="shared" ref="V27" ca="1" si="6">IFERROR($H$26/V26,$H$26)</f>
        <v>31.25</v>
      </c>
      <c r="W27" s="315"/>
      <c r="X27" s="316">
        <f t="shared" ref="X27" ca="1" si="7">IFERROR($H$26/X26,$H$26)</f>
        <v>32.142857142857146</v>
      </c>
      <c r="Y27" s="315"/>
      <c r="Z27" s="316">
        <f t="shared" ref="Z27" ca="1" si="8">IFERROR($H$26/Z26,$H$26)</f>
        <v>56.25</v>
      </c>
      <c r="AA27" s="315"/>
      <c r="AB27" s="316">
        <f t="shared" ref="AB27" ca="1" si="9">IFERROR($H$26/AB26,$H$26)</f>
        <v>69.230769230769241</v>
      </c>
      <c r="AC27" s="315"/>
      <c r="AD27" s="316">
        <f t="shared" ref="AD27" ca="1" si="10">IFERROR($H$26/AD26,$H$26)</f>
        <v>95.744680851063848</v>
      </c>
      <c r="AE27" s="315"/>
      <c r="AF27" s="316">
        <f t="shared" ref="AF27" ca="1" si="11">IFERROR($H$26/AF26,$H$26)</f>
        <v>107.14285714285715</v>
      </c>
      <c r="AG27" s="315"/>
      <c r="AH27" s="316">
        <f t="shared" ref="AH27" ca="1" si="12">IFERROR($H$26/AH26,$H$26)</f>
        <v>180.00000000000003</v>
      </c>
      <c r="AI27" s="315"/>
      <c r="AJ27" s="316">
        <f t="shared" ref="AJ27" ca="1" si="13">IFERROR($H$26/AJ26,$H$26)</f>
        <v>375</v>
      </c>
      <c r="AK27" s="315"/>
      <c r="AL27" s="316">
        <f t="shared" ref="AL27" ca="1" si="14">IFERROR($H$26/AL26,$H$26)</f>
        <v>450</v>
      </c>
      <c r="AM27" s="315"/>
      <c r="AN27" s="316">
        <f t="shared" ref="AN27" ca="1" si="15">IFERROR($H$26/AN26,$H$26)</f>
        <v>75</v>
      </c>
      <c r="AO27" s="315"/>
      <c r="AP27" s="316">
        <f t="shared" ref="AP27" ca="1" si="16">IFERROR($H$26/AP26,$H$26)</f>
        <v>75</v>
      </c>
      <c r="AQ27" s="315"/>
      <c r="AR27" s="316">
        <f t="shared" ref="AR27" ca="1" si="17">IFERROR($H$26/AR26,$H$26)</f>
        <v>75</v>
      </c>
      <c r="AS27" s="315"/>
      <c r="AT27" s="316">
        <f t="shared" ref="AT27" ca="1" si="18">IFERROR($H$26/AT26,$H$26)</f>
        <v>75</v>
      </c>
      <c r="AU27" s="315"/>
      <c r="AV27" s="316">
        <f t="shared" ref="AV27" ca="1" si="19">IFERROR($H$26/AV26,$H$26)</f>
        <v>75</v>
      </c>
      <c r="AW27" s="315"/>
      <c r="AX27" s="316">
        <f t="shared" ref="AX27" ca="1" si="20">IFERROR($H$26/AX26,$H$26)</f>
        <v>75</v>
      </c>
      <c r="AY27" s="321"/>
    </row>
    <row r="28" spans="1:51" ht="15" hidden="1" customHeight="1" thickBot="1" x14ac:dyDescent="0.3">
      <c r="A28" s="245" t="s">
        <v>389</v>
      </c>
      <c r="B28" s="245"/>
      <c r="C28" s="325">
        <f ca="1">SUM(H28:AY28)</f>
        <v>0</v>
      </c>
      <c r="D28" s="323"/>
      <c r="E28" s="323" t="s">
        <v>390</v>
      </c>
      <c r="F28" s="323"/>
      <c r="G28" s="324"/>
      <c r="H28" s="314">
        <f ca="1">H29*H27</f>
        <v>0</v>
      </c>
      <c r="I28" s="315"/>
      <c r="J28" s="316">
        <f t="shared" ref="J28" ca="1" si="21">J29*J27</f>
        <v>0</v>
      </c>
      <c r="K28" s="315"/>
      <c r="L28" s="316">
        <f t="shared" ref="L28" ca="1" si="22">L29*L27</f>
        <v>0</v>
      </c>
      <c r="M28" s="315"/>
      <c r="N28" s="316">
        <f t="shared" ref="N28" ca="1" si="23">N29*N27</f>
        <v>0</v>
      </c>
      <c r="O28" s="315"/>
      <c r="P28" s="316">
        <f t="shared" ref="P28" ca="1" si="24">P29*P27</f>
        <v>0</v>
      </c>
      <c r="Q28" s="315"/>
      <c r="R28" s="316">
        <f t="shared" ref="R28" ca="1" si="25">R29*R27</f>
        <v>0</v>
      </c>
      <c r="S28" s="315"/>
      <c r="T28" s="316">
        <f t="shared" ref="T28" ca="1" si="26">T29*T27</f>
        <v>0</v>
      </c>
      <c r="U28" s="315"/>
      <c r="V28" s="316">
        <f t="shared" ref="V28" ca="1" si="27">V29*V27</f>
        <v>0</v>
      </c>
      <c r="W28" s="315"/>
      <c r="X28" s="316">
        <f t="shared" ref="X28" ca="1" si="28">X29*X27</f>
        <v>0</v>
      </c>
      <c r="Y28" s="315"/>
      <c r="Z28" s="316">
        <f t="shared" ref="Z28" ca="1" si="29">Z29*Z27</f>
        <v>0</v>
      </c>
      <c r="AA28" s="315"/>
      <c r="AB28" s="316">
        <f t="shared" ref="AB28" ca="1" si="30">AB29*AB27</f>
        <v>0</v>
      </c>
      <c r="AC28" s="315"/>
      <c r="AD28" s="316">
        <f t="shared" ref="AD28" ca="1" si="31">AD29*AD27</f>
        <v>0</v>
      </c>
      <c r="AE28" s="315"/>
      <c r="AF28" s="316">
        <f t="shared" ref="AF28" ca="1" si="32">AF29*AF27</f>
        <v>0</v>
      </c>
      <c r="AG28" s="315"/>
      <c r="AH28" s="316">
        <f t="shared" ref="AH28" ca="1" si="33">AH29*AH27</f>
        <v>0</v>
      </c>
      <c r="AI28" s="315"/>
      <c r="AJ28" s="316">
        <f t="shared" ref="AJ28" ca="1" si="34">AJ29*AJ27</f>
        <v>0</v>
      </c>
      <c r="AK28" s="315"/>
      <c r="AL28" s="316">
        <f t="shared" ref="AL28" ca="1" si="35">AL29*AL27</f>
        <v>0</v>
      </c>
      <c r="AM28" s="315"/>
      <c r="AN28" s="316">
        <f t="shared" ref="AN28" ca="1" si="36">AN29*AN27</f>
        <v>0</v>
      </c>
      <c r="AO28" s="315"/>
      <c r="AP28" s="316">
        <f t="shared" ref="AP28" ca="1" si="37">AP29*AP27</f>
        <v>0</v>
      </c>
      <c r="AQ28" s="315"/>
      <c r="AR28" s="316">
        <f t="shared" ref="AR28" ca="1" si="38">AR29*AR27</f>
        <v>0</v>
      </c>
      <c r="AS28" s="315"/>
      <c r="AT28" s="316">
        <f t="shared" ref="AT28" ca="1" si="39">AT29*AT27</f>
        <v>0</v>
      </c>
      <c r="AU28" s="315"/>
      <c r="AV28" s="316">
        <f t="shared" ref="AV28" ca="1" si="40">AV29*AV27</f>
        <v>0</v>
      </c>
      <c r="AW28" s="315"/>
      <c r="AX28" s="316">
        <f t="shared" ref="AX28" ca="1" si="41">AX29*AX27</f>
        <v>0</v>
      </c>
      <c r="AY28" s="321"/>
    </row>
    <row r="29" spans="1:51" ht="15" customHeight="1" thickBot="1" x14ac:dyDescent="0.3">
      <c r="A29" s="323" t="s">
        <v>391</v>
      </c>
      <c r="B29" s="323"/>
      <c r="C29" s="323"/>
      <c r="D29" s="323"/>
      <c r="E29" s="323"/>
      <c r="F29" s="323"/>
      <c r="G29" s="324"/>
      <c r="H29" s="314">
        <f>SUMIF($M$34:$M$63,H25,$K$34:$L$63)</f>
        <v>0</v>
      </c>
      <c r="I29" s="315"/>
      <c r="J29" s="316">
        <f t="shared" ref="J29" si="42">SUMIF($M$34:$M$63,J25,$K$34:$L$63)</f>
        <v>0</v>
      </c>
      <c r="K29" s="315"/>
      <c r="L29" s="316">
        <f t="shared" ref="L29" si="43">SUMIF($M$34:$M$63,L25,$K$34:$L$63)</f>
        <v>0</v>
      </c>
      <c r="M29" s="315"/>
      <c r="N29" s="316">
        <f t="shared" ref="N29" si="44">SUMIF($M$34:$M$63,N25,$K$34:$L$63)</f>
        <v>0</v>
      </c>
      <c r="O29" s="315"/>
      <c r="P29" s="316">
        <f t="shared" ref="P29" si="45">SUMIF($M$34:$M$63,P25,$K$34:$L$63)</f>
        <v>0</v>
      </c>
      <c r="Q29" s="315"/>
      <c r="R29" s="316">
        <f t="shared" ref="R29" si="46">SUMIF($M$34:$M$63,R25,$K$34:$L$63)</f>
        <v>0</v>
      </c>
      <c r="S29" s="315"/>
      <c r="T29" s="316">
        <f t="shared" ref="T29" si="47">SUMIF($M$34:$M$63,T25,$K$34:$L$63)</f>
        <v>0</v>
      </c>
      <c r="U29" s="315"/>
      <c r="V29" s="316">
        <f t="shared" ref="V29" si="48">SUMIF($M$34:$M$63,V25,$K$34:$L$63)</f>
        <v>0</v>
      </c>
      <c r="W29" s="315"/>
      <c r="X29" s="316">
        <f t="shared" ref="X29" si="49">SUMIF($M$34:$M$63,X25,$K$34:$L$63)</f>
        <v>0</v>
      </c>
      <c r="Y29" s="315"/>
      <c r="Z29" s="316">
        <f t="shared" ref="Z29" si="50">SUMIF($M$34:$M$63,Z25,$K$34:$L$63)</f>
        <v>0</v>
      </c>
      <c r="AA29" s="315"/>
      <c r="AB29" s="316">
        <f t="shared" ref="AB29" si="51">SUMIF($M$34:$M$63,AB25,$K$34:$L$63)</f>
        <v>0</v>
      </c>
      <c r="AC29" s="315"/>
      <c r="AD29" s="316">
        <f t="shared" ref="AD29" si="52">SUMIF($M$34:$M$63,AD25,$K$34:$L$63)</f>
        <v>0</v>
      </c>
      <c r="AE29" s="315"/>
      <c r="AF29" s="316">
        <f t="shared" ref="AF29" si="53">SUMIF($M$34:$M$63,AF25,$K$34:$L$63)</f>
        <v>0</v>
      </c>
      <c r="AG29" s="315"/>
      <c r="AH29" s="316">
        <f t="shared" ref="AH29" si="54">SUMIF($M$34:$M$63,AH25,$K$34:$L$63)</f>
        <v>0</v>
      </c>
      <c r="AI29" s="315"/>
      <c r="AJ29" s="316">
        <f t="shared" ref="AJ29" si="55">SUMIF($M$34:$M$63,AJ25,$K$34:$L$63)</f>
        <v>0</v>
      </c>
      <c r="AK29" s="315"/>
      <c r="AL29" s="316">
        <f t="shared" ref="AL29" si="56">SUMIF($M$34:$M$63,AL25,$K$34:$L$63)</f>
        <v>0</v>
      </c>
      <c r="AM29" s="315"/>
      <c r="AN29" s="316">
        <f t="shared" ref="AN29" si="57">SUMIF($M$34:$M$63,AN25,$K$34:$L$63)</f>
        <v>0</v>
      </c>
      <c r="AO29" s="315"/>
      <c r="AP29" s="316">
        <f t="shared" ref="AP29" si="58">SUMIF($M$34:$M$63,AP25,$K$34:$L$63)</f>
        <v>0</v>
      </c>
      <c r="AQ29" s="315"/>
      <c r="AR29" s="316">
        <f t="shared" ref="AR29" si="59">SUMIF($M$34:$M$63,AR25,$K$34:$L$63)</f>
        <v>0</v>
      </c>
      <c r="AS29" s="315"/>
      <c r="AT29" s="316">
        <f t="shared" ref="AT29" si="60">SUMIF($M$34:$M$63,AT25,$K$34:$L$63)</f>
        <v>0</v>
      </c>
      <c r="AU29" s="315"/>
      <c r="AV29" s="316">
        <f t="shared" ref="AV29" si="61">SUMIF($M$34:$M$63,AV25,$K$34:$L$63)</f>
        <v>0</v>
      </c>
      <c r="AW29" s="315"/>
      <c r="AX29" s="316">
        <f>SUMIF($M$34:$M$63,AX25,$K$34:$L$63)</f>
        <v>0</v>
      </c>
      <c r="AY29" s="321"/>
    </row>
    <row r="30" spans="1:51" ht="15" customHeight="1" thickBot="1" x14ac:dyDescent="0.3">
      <c r="A30" s="327" t="s">
        <v>822</v>
      </c>
      <c r="B30" s="327"/>
      <c r="C30" s="327"/>
      <c r="D30" s="327"/>
      <c r="E30" s="327"/>
      <c r="F30" s="327"/>
      <c r="G30" s="327"/>
      <c r="H30" s="314">
        <f ca="1">H26-$C$28/H27</f>
        <v>75</v>
      </c>
      <c r="I30" s="315"/>
      <c r="J30" s="316">
        <f t="shared" ref="J30" ca="1" si="62">J26-$C$28/J27</f>
        <v>59</v>
      </c>
      <c r="K30" s="315"/>
      <c r="L30" s="316">
        <f t="shared" ref="L30" ca="1" si="63">L26-$C$28/L27</f>
        <v>45.333333333333329</v>
      </c>
      <c r="M30" s="315"/>
      <c r="N30" s="316">
        <f t="shared" ref="N30" ca="1" si="64">N26-$C$28/N27</f>
        <v>25.7</v>
      </c>
      <c r="O30" s="315"/>
      <c r="P30" s="316">
        <f t="shared" ref="P30" ca="1" si="65">P26-$C$28/P27</f>
        <v>11.75</v>
      </c>
      <c r="Q30" s="315"/>
      <c r="R30" s="316">
        <f t="shared" ref="R30" ca="1" si="66">R26-$C$28/R27</f>
        <v>6.4166666666666661</v>
      </c>
      <c r="S30" s="315"/>
      <c r="T30" s="316">
        <f t="shared" ref="T30" ca="1" si="67">T26-$C$28/T27</f>
        <v>4.833333333333333</v>
      </c>
      <c r="U30" s="315"/>
      <c r="V30" s="316">
        <f t="shared" ref="V30" ca="1" si="68">V26-$C$28/V27</f>
        <v>2.4</v>
      </c>
      <c r="W30" s="315"/>
      <c r="X30" s="316">
        <f t="shared" ref="X30" ca="1" si="69">X26-$C$28/X27</f>
        <v>2.333333333333333</v>
      </c>
      <c r="Y30" s="315"/>
      <c r="Z30" s="316">
        <f t="shared" ref="Z30" ca="1" si="70">Z26-$C$28/Z27</f>
        <v>1.3333333333333333</v>
      </c>
      <c r="AA30" s="315"/>
      <c r="AB30" s="316">
        <f t="shared" ref="AB30" ca="1" si="71">AB26-$C$28/AB27</f>
        <v>1.0833333333333333</v>
      </c>
      <c r="AC30" s="315"/>
      <c r="AD30" s="316">
        <f t="shared" ref="AD30" ca="1" si="72">AD26-$C$28/AD27</f>
        <v>0.78333333333333321</v>
      </c>
      <c r="AE30" s="315"/>
      <c r="AF30" s="316">
        <f t="shared" ref="AF30" ca="1" si="73">AF26-$C$28/AF27</f>
        <v>0.7</v>
      </c>
      <c r="AG30" s="315"/>
      <c r="AH30" s="316">
        <f t="shared" ref="AH30" ca="1" si="74">AH26-$C$28/AH27</f>
        <v>0.41666666666666663</v>
      </c>
      <c r="AI30" s="315"/>
      <c r="AJ30" s="316">
        <f t="shared" ref="AJ30" ca="1" si="75">AJ26-$C$28/AJ27</f>
        <v>0.2</v>
      </c>
      <c r="AK30" s="315"/>
      <c r="AL30" s="316">
        <f t="shared" ref="AL30" ca="1" si="76">AL26-$C$28/AL27</f>
        <v>0.16666666666666666</v>
      </c>
      <c r="AM30" s="315"/>
      <c r="AN30" s="316">
        <f t="shared" ref="AN30" ca="1" si="77">AN26-$C$28/AN27</f>
        <v>0</v>
      </c>
      <c r="AO30" s="315"/>
      <c r="AP30" s="316">
        <f t="shared" ref="AP30" ca="1" si="78">AP26-$C$28/AP27</f>
        <v>0</v>
      </c>
      <c r="AQ30" s="315"/>
      <c r="AR30" s="316">
        <f t="shared" ref="AR30" ca="1" si="79">AR26-$C$28/AR27</f>
        <v>0</v>
      </c>
      <c r="AS30" s="315"/>
      <c r="AT30" s="316">
        <f t="shared" ref="AT30" ca="1" si="80">AT26-$C$28/AT27</f>
        <v>0</v>
      </c>
      <c r="AU30" s="315"/>
      <c r="AV30" s="316">
        <f t="shared" ref="AV30" ca="1" si="81">AV26-$C$28/AV27</f>
        <v>0</v>
      </c>
      <c r="AW30" s="315"/>
      <c r="AX30" s="316">
        <f t="shared" ref="AX30" ca="1" si="82">AX26-$C$28/AX27</f>
        <v>0</v>
      </c>
      <c r="AY30" s="321"/>
    </row>
    <row r="31" spans="1:51" ht="15" customHeight="1" thickBot="1" x14ac:dyDescent="0.3"/>
    <row r="32" spans="1:51" ht="15" customHeight="1" thickBot="1" x14ac:dyDescent="0.3">
      <c r="A32" s="244" t="s">
        <v>365</v>
      </c>
      <c r="B32" s="245"/>
      <c r="C32" s="245"/>
      <c r="D32" s="245"/>
      <c r="E32" s="245"/>
      <c r="F32" s="245"/>
      <c r="G32" s="245"/>
      <c r="H32" s="245"/>
      <c r="I32" s="245"/>
      <c r="J32" s="245"/>
      <c r="K32" s="246" t="s">
        <v>366</v>
      </c>
      <c r="L32" s="247"/>
      <c r="M32" s="250" t="s">
        <v>22</v>
      </c>
      <c r="N32" s="245"/>
      <c r="O32" s="247"/>
      <c r="P32" s="221" t="s">
        <v>382</v>
      </c>
      <c r="Q32" s="222"/>
      <c r="R32" s="222"/>
      <c r="S32" s="222"/>
      <c r="T32" s="251"/>
      <c r="U32" s="252" t="s">
        <v>383</v>
      </c>
      <c r="V32" s="250"/>
      <c r="W32" s="250"/>
      <c r="X32" s="250"/>
      <c r="Y32" s="307"/>
      <c r="Z32" s="221" t="s">
        <v>384</v>
      </c>
      <c r="AA32" s="222"/>
      <c r="AB32" s="222"/>
      <c r="AC32" s="329"/>
      <c r="AF32" s="60"/>
      <c r="AG32" s="61"/>
      <c r="AH32" s="61"/>
      <c r="AI32" s="61"/>
      <c r="AJ32" s="61"/>
      <c r="AK32" s="61"/>
      <c r="AL32" s="61"/>
      <c r="AM32" s="61"/>
      <c r="AN32" s="61"/>
      <c r="AO32" s="61"/>
      <c r="AP32" s="61"/>
      <c r="AQ32" s="61"/>
      <c r="AR32" s="61"/>
      <c r="AS32" s="61"/>
      <c r="AT32" s="61"/>
      <c r="AU32" s="61"/>
      <c r="AV32" s="61"/>
      <c r="AW32" s="61"/>
      <c r="AX32" s="61"/>
      <c r="AY32" s="62"/>
    </row>
    <row r="33" spans="1:51" ht="15" hidden="1" customHeight="1" thickBot="1" x14ac:dyDescent="0.3">
      <c r="A33" s="226" t="s">
        <v>19</v>
      </c>
      <c r="B33" s="217"/>
      <c r="C33" s="217"/>
      <c r="D33" s="217"/>
      <c r="E33" s="217"/>
      <c r="F33" s="217"/>
      <c r="G33" s="217"/>
      <c r="H33" s="217"/>
      <c r="I33" s="217"/>
      <c r="J33" s="217"/>
      <c r="K33" s="11"/>
      <c r="L33" s="11"/>
      <c r="M33" s="58">
        <f>IFERROR(INDEX(EncounterMultiplier[],MATCH(SUM(K34:L115),EncounterMultiplier[Enemies],1),2),1)</f>
        <v>2</v>
      </c>
      <c r="N33" s="11"/>
      <c r="O33" s="11"/>
      <c r="P33" s="217"/>
      <c r="Q33" s="217"/>
      <c r="R33" s="217"/>
      <c r="S33" s="217"/>
      <c r="T33" s="217"/>
      <c r="U33" s="217"/>
      <c r="V33" s="217"/>
      <c r="W33" s="217"/>
      <c r="X33" s="217"/>
      <c r="Y33" s="217"/>
      <c r="Z33" s="11"/>
      <c r="AA33" s="11"/>
      <c r="AB33" s="11"/>
      <c r="AC33" s="59"/>
      <c r="AD33" s="36"/>
      <c r="AF33" s="63"/>
      <c r="AG33" s="64"/>
      <c r="AH33" s="64"/>
      <c r="AI33" s="64"/>
      <c r="AJ33" s="64"/>
      <c r="AK33" s="64"/>
      <c r="AL33" s="64"/>
      <c r="AM33" s="64"/>
      <c r="AN33" s="64"/>
      <c r="AO33" s="64"/>
      <c r="AP33" s="64"/>
      <c r="AQ33" s="64"/>
      <c r="AR33" s="64"/>
      <c r="AS33" s="64"/>
      <c r="AT33" s="64"/>
      <c r="AU33" s="64"/>
      <c r="AV33" s="64"/>
      <c r="AW33" s="64"/>
      <c r="AX33" s="64"/>
      <c r="AY33" s="65"/>
    </row>
    <row r="34" spans="1:51" ht="15" customHeight="1" thickBot="1" x14ac:dyDescent="0.3">
      <c r="A34" s="236" t="s">
        <v>385</v>
      </c>
      <c r="B34" s="237"/>
      <c r="C34" s="237"/>
      <c r="D34" s="237"/>
      <c r="E34" s="237"/>
      <c r="F34" s="237"/>
      <c r="G34" s="237"/>
      <c r="H34" s="237"/>
      <c r="I34" s="237"/>
      <c r="J34" s="237"/>
      <c r="K34" s="234">
        <v>4</v>
      </c>
      <c r="L34" s="235"/>
      <c r="M34" s="248" t="str">
        <f>IFERROR(VLOOKUP(A34,Creatures[],5,FALSE),"-")</f>
        <v>-</v>
      </c>
      <c r="N34" s="249"/>
      <c r="O34" s="249"/>
      <c r="P34" s="308" t="str">
        <f>IFERROR(VLOOKUP(M34,CREXP[],2,FALSE),"-")</f>
        <v>-</v>
      </c>
      <c r="Q34" s="309"/>
      <c r="R34" s="309"/>
      <c r="S34" s="309"/>
      <c r="T34" s="310"/>
      <c r="U34" s="308" t="str">
        <f>IFERROR(P34*K34,"-")</f>
        <v>-</v>
      </c>
      <c r="V34" s="309"/>
      <c r="W34" s="309"/>
      <c r="X34" s="309"/>
      <c r="Y34" s="310"/>
      <c r="Z34" s="330" t="str">
        <f t="shared" ref="Z34:Z63" si="83">IFERROR(U34/SUM($U$34:$Y$63),"-")</f>
        <v>-</v>
      </c>
      <c r="AA34" s="331"/>
      <c r="AB34" s="331"/>
      <c r="AC34" s="332"/>
      <c r="AD34" s="36"/>
      <c r="AF34" s="66"/>
      <c r="AG34" s="67"/>
      <c r="AH34" s="67"/>
      <c r="AI34" s="67"/>
      <c r="AJ34" s="67"/>
      <c r="AK34" s="67"/>
      <c r="AL34" s="67"/>
      <c r="AM34" s="67"/>
      <c r="AN34" s="67"/>
      <c r="AO34" s="67"/>
      <c r="AP34" s="67"/>
      <c r="AQ34" s="67"/>
      <c r="AR34" s="67"/>
      <c r="AS34" s="67"/>
      <c r="AT34" s="67"/>
      <c r="AU34" s="67"/>
      <c r="AV34" s="67"/>
      <c r="AW34" s="67"/>
      <c r="AX34" s="67"/>
      <c r="AY34" s="68"/>
    </row>
    <row r="35" spans="1:51" ht="15" customHeight="1" x14ac:dyDescent="0.25">
      <c r="A35" s="228" t="s">
        <v>386</v>
      </c>
      <c r="B35" s="229"/>
      <c r="C35" s="229"/>
      <c r="D35" s="229"/>
      <c r="E35" s="229"/>
      <c r="F35" s="229"/>
      <c r="G35" s="229"/>
      <c r="H35" s="229"/>
      <c r="I35" s="229"/>
      <c r="J35" s="229"/>
      <c r="K35" s="230">
        <v>2</v>
      </c>
      <c r="L35" s="231"/>
      <c r="M35" s="232" t="str">
        <f>IFERROR(VLOOKUP(A35,Creatures[],5,FALSE),"-")</f>
        <v>-</v>
      </c>
      <c r="N35" s="233"/>
      <c r="O35" s="233"/>
      <c r="P35" s="301" t="str">
        <f>IFERROR(VLOOKUP(M35,CREXP[],2,FALSE),"-")</f>
        <v>-</v>
      </c>
      <c r="Q35" s="302"/>
      <c r="R35" s="302"/>
      <c r="S35" s="302"/>
      <c r="T35" s="303"/>
      <c r="U35" s="301" t="str">
        <f>IFERROR(P35*K35,"-")</f>
        <v>-</v>
      </c>
      <c r="V35" s="302"/>
      <c r="W35" s="302"/>
      <c r="X35" s="302"/>
      <c r="Y35" s="303"/>
      <c r="Z35" s="326" t="str">
        <f t="shared" si="83"/>
        <v>-</v>
      </c>
      <c r="AA35" s="212"/>
      <c r="AB35" s="212"/>
      <c r="AC35" s="213"/>
      <c r="AD35" s="36"/>
    </row>
    <row r="36" spans="1:51" ht="15" customHeight="1" x14ac:dyDescent="0.25">
      <c r="A36" s="228"/>
      <c r="B36" s="229"/>
      <c r="C36" s="229"/>
      <c r="D36" s="229"/>
      <c r="E36" s="229"/>
      <c r="F36" s="229"/>
      <c r="G36" s="229"/>
      <c r="H36" s="229"/>
      <c r="I36" s="229"/>
      <c r="J36" s="229"/>
      <c r="K36" s="230"/>
      <c r="L36" s="231"/>
      <c r="M36" s="232" t="str">
        <f>IFERROR(VLOOKUP(A36,Creatures[],5,FALSE),"-")</f>
        <v>-</v>
      </c>
      <c r="N36" s="233"/>
      <c r="O36" s="233"/>
      <c r="P36" s="301" t="str">
        <f>IFERROR(VLOOKUP(M36,CREXP[],2,FALSE),"-")</f>
        <v>-</v>
      </c>
      <c r="Q36" s="302"/>
      <c r="R36" s="302"/>
      <c r="S36" s="302"/>
      <c r="T36" s="303"/>
      <c r="U36" s="301" t="str">
        <f t="shared" ref="U36:U63" si="84">IFERROR(P36*K36,"-")</f>
        <v>-</v>
      </c>
      <c r="V36" s="302"/>
      <c r="W36" s="302"/>
      <c r="X36" s="302"/>
      <c r="Y36" s="303"/>
      <c r="Z36" s="326" t="str">
        <f t="shared" si="83"/>
        <v>-</v>
      </c>
      <c r="AA36" s="212"/>
      <c r="AB36" s="212"/>
      <c r="AC36" s="213"/>
      <c r="AD36" s="36"/>
    </row>
    <row r="37" spans="1:51" ht="15" customHeight="1" x14ac:dyDescent="0.25">
      <c r="A37" s="228"/>
      <c r="B37" s="229"/>
      <c r="C37" s="229"/>
      <c r="D37" s="229"/>
      <c r="E37" s="229"/>
      <c r="F37" s="229"/>
      <c r="G37" s="229"/>
      <c r="H37" s="229"/>
      <c r="I37" s="229"/>
      <c r="J37" s="229"/>
      <c r="K37" s="230"/>
      <c r="L37" s="231"/>
      <c r="M37" s="232" t="str">
        <f>IFERROR(VLOOKUP(A37,Creatures[],5,FALSE),"-")</f>
        <v>-</v>
      </c>
      <c r="N37" s="233"/>
      <c r="O37" s="233"/>
      <c r="P37" s="301" t="str">
        <f>IFERROR(VLOOKUP(M37,CREXP[],2,FALSE),"-")</f>
        <v>-</v>
      </c>
      <c r="Q37" s="302"/>
      <c r="R37" s="302"/>
      <c r="S37" s="302"/>
      <c r="T37" s="303"/>
      <c r="U37" s="301" t="str">
        <f t="shared" si="84"/>
        <v>-</v>
      </c>
      <c r="V37" s="302"/>
      <c r="W37" s="302"/>
      <c r="X37" s="302"/>
      <c r="Y37" s="303"/>
      <c r="Z37" s="326" t="str">
        <f t="shared" si="83"/>
        <v>-</v>
      </c>
      <c r="AA37" s="212"/>
      <c r="AB37" s="212"/>
      <c r="AC37" s="213"/>
      <c r="AD37" s="36"/>
    </row>
    <row r="38" spans="1:51" ht="15" customHeight="1" x14ac:dyDescent="0.25">
      <c r="A38" s="228"/>
      <c r="B38" s="229"/>
      <c r="C38" s="229"/>
      <c r="D38" s="229"/>
      <c r="E38" s="229"/>
      <c r="F38" s="229"/>
      <c r="G38" s="229"/>
      <c r="H38" s="229"/>
      <c r="I38" s="229"/>
      <c r="J38" s="229"/>
      <c r="K38" s="230"/>
      <c r="L38" s="231"/>
      <c r="M38" s="232" t="str">
        <f>IFERROR(VLOOKUP(A38,Creatures[],5,FALSE),"-")</f>
        <v>-</v>
      </c>
      <c r="N38" s="233"/>
      <c r="O38" s="233"/>
      <c r="P38" s="301" t="str">
        <f>IFERROR(VLOOKUP(M38,CREXP[],2,FALSE),"-")</f>
        <v>-</v>
      </c>
      <c r="Q38" s="302"/>
      <c r="R38" s="302"/>
      <c r="S38" s="302"/>
      <c r="T38" s="303"/>
      <c r="U38" s="301" t="str">
        <f>IFERROR(P38*K38,"-")</f>
        <v>-</v>
      </c>
      <c r="V38" s="302"/>
      <c r="W38" s="302"/>
      <c r="X38" s="302"/>
      <c r="Y38" s="303"/>
      <c r="Z38" s="326" t="str">
        <f t="shared" si="83"/>
        <v>-</v>
      </c>
      <c r="AA38" s="212"/>
      <c r="AB38" s="212"/>
      <c r="AC38" s="213"/>
      <c r="AD38" s="36"/>
    </row>
    <row r="39" spans="1:51" ht="15" customHeight="1" x14ac:dyDescent="0.25">
      <c r="A39" s="228"/>
      <c r="B39" s="229"/>
      <c r="C39" s="229"/>
      <c r="D39" s="229"/>
      <c r="E39" s="229"/>
      <c r="F39" s="229"/>
      <c r="G39" s="229"/>
      <c r="H39" s="229"/>
      <c r="I39" s="229"/>
      <c r="J39" s="229"/>
      <c r="K39" s="230"/>
      <c r="L39" s="231"/>
      <c r="M39" s="232" t="str">
        <f>IFERROR(VLOOKUP(A39,Creatures[],5,FALSE),"-")</f>
        <v>-</v>
      </c>
      <c r="N39" s="233"/>
      <c r="O39" s="233"/>
      <c r="P39" s="301" t="str">
        <f>IFERROR(VLOOKUP(M39,CREXP[],2,FALSE),"-")</f>
        <v>-</v>
      </c>
      <c r="Q39" s="302"/>
      <c r="R39" s="302"/>
      <c r="S39" s="302"/>
      <c r="T39" s="303"/>
      <c r="U39" s="301" t="str">
        <f t="shared" si="84"/>
        <v>-</v>
      </c>
      <c r="V39" s="302"/>
      <c r="W39" s="302"/>
      <c r="X39" s="302"/>
      <c r="Y39" s="303"/>
      <c r="Z39" s="326" t="str">
        <f t="shared" si="83"/>
        <v>-</v>
      </c>
      <c r="AA39" s="212"/>
      <c r="AB39" s="212"/>
      <c r="AC39" s="213"/>
      <c r="AD39" s="36"/>
    </row>
    <row r="40" spans="1:51" ht="15" customHeight="1" x14ac:dyDescent="0.25">
      <c r="A40" s="228"/>
      <c r="B40" s="229"/>
      <c r="C40" s="229"/>
      <c r="D40" s="229"/>
      <c r="E40" s="229"/>
      <c r="F40" s="229"/>
      <c r="G40" s="229"/>
      <c r="H40" s="229"/>
      <c r="I40" s="229"/>
      <c r="J40" s="229"/>
      <c r="K40" s="230"/>
      <c r="L40" s="231"/>
      <c r="M40" s="232" t="str">
        <f>IFERROR(VLOOKUP(A40,Creatures[],5,FALSE),"-")</f>
        <v>-</v>
      </c>
      <c r="N40" s="233"/>
      <c r="O40" s="233"/>
      <c r="P40" s="301" t="str">
        <f>IFERROR(VLOOKUP(M40,CREXP[],2,FALSE),"-")</f>
        <v>-</v>
      </c>
      <c r="Q40" s="302"/>
      <c r="R40" s="302"/>
      <c r="S40" s="302"/>
      <c r="T40" s="303"/>
      <c r="U40" s="301" t="str">
        <f t="shared" si="84"/>
        <v>-</v>
      </c>
      <c r="V40" s="302"/>
      <c r="W40" s="302"/>
      <c r="X40" s="302"/>
      <c r="Y40" s="303"/>
      <c r="Z40" s="326" t="str">
        <f t="shared" si="83"/>
        <v>-</v>
      </c>
      <c r="AA40" s="212"/>
      <c r="AB40" s="212"/>
      <c r="AC40" s="213"/>
      <c r="AD40" s="36"/>
    </row>
    <row r="41" spans="1:51" ht="15" customHeight="1" x14ac:dyDescent="0.25">
      <c r="A41" s="228"/>
      <c r="B41" s="229"/>
      <c r="C41" s="229"/>
      <c r="D41" s="229"/>
      <c r="E41" s="229"/>
      <c r="F41" s="229"/>
      <c r="G41" s="229"/>
      <c r="H41" s="229"/>
      <c r="I41" s="229"/>
      <c r="J41" s="229"/>
      <c r="K41" s="230"/>
      <c r="L41" s="231"/>
      <c r="M41" s="232" t="str">
        <f>IFERROR(VLOOKUP(A41,Creatures[],5,FALSE),"-")</f>
        <v>-</v>
      </c>
      <c r="N41" s="233"/>
      <c r="O41" s="233"/>
      <c r="P41" s="301" t="str">
        <f>IFERROR(VLOOKUP(M41,CREXP[],2,FALSE),"-")</f>
        <v>-</v>
      </c>
      <c r="Q41" s="302"/>
      <c r="R41" s="302"/>
      <c r="S41" s="302"/>
      <c r="T41" s="303"/>
      <c r="U41" s="301" t="str">
        <f t="shared" si="84"/>
        <v>-</v>
      </c>
      <c r="V41" s="302"/>
      <c r="W41" s="302"/>
      <c r="X41" s="302"/>
      <c r="Y41" s="303"/>
      <c r="Z41" s="326" t="str">
        <f t="shared" si="83"/>
        <v>-</v>
      </c>
      <c r="AA41" s="212"/>
      <c r="AB41" s="212"/>
      <c r="AC41" s="213"/>
      <c r="AD41" s="36"/>
    </row>
    <row r="42" spans="1:51" ht="15" customHeight="1" x14ac:dyDescent="0.25">
      <c r="A42" s="228"/>
      <c r="B42" s="229"/>
      <c r="C42" s="229"/>
      <c r="D42" s="229"/>
      <c r="E42" s="229"/>
      <c r="F42" s="229"/>
      <c r="G42" s="229"/>
      <c r="H42" s="229"/>
      <c r="I42" s="229"/>
      <c r="J42" s="229"/>
      <c r="K42" s="230"/>
      <c r="L42" s="231"/>
      <c r="M42" s="232" t="str">
        <f>IFERROR(VLOOKUP(A42,Creatures[],5,FALSE),"-")</f>
        <v>-</v>
      </c>
      <c r="N42" s="233"/>
      <c r="O42" s="233"/>
      <c r="P42" s="301" t="str">
        <f>IFERROR(VLOOKUP(M42,CREXP[],2,FALSE),"-")</f>
        <v>-</v>
      </c>
      <c r="Q42" s="302"/>
      <c r="R42" s="302"/>
      <c r="S42" s="302"/>
      <c r="T42" s="303"/>
      <c r="U42" s="301" t="str">
        <f t="shared" si="84"/>
        <v>-</v>
      </c>
      <c r="V42" s="302"/>
      <c r="W42" s="302"/>
      <c r="X42" s="302"/>
      <c r="Y42" s="303"/>
      <c r="Z42" s="326" t="str">
        <f t="shared" si="83"/>
        <v>-</v>
      </c>
      <c r="AA42" s="212"/>
      <c r="AB42" s="212"/>
      <c r="AC42" s="213"/>
      <c r="AD42" s="36"/>
    </row>
    <row r="43" spans="1:51" ht="15" customHeight="1" x14ac:dyDescent="0.25">
      <c r="A43" s="228"/>
      <c r="B43" s="229"/>
      <c r="C43" s="229"/>
      <c r="D43" s="229"/>
      <c r="E43" s="229"/>
      <c r="F43" s="229"/>
      <c r="G43" s="229"/>
      <c r="H43" s="229"/>
      <c r="I43" s="229"/>
      <c r="J43" s="229"/>
      <c r="K43" s="230"/>
      <c r="L43" s="231"/>
      <c r="M43" s="232" t="str">
        <f>IFERROR(VLOOKUP(A43,Creatures[],5,FALSE),"-")</f>
        <v>-</v>
      </c>
      <c r="N43" s="233"/>
      <c r="O43" s="233"/>
      <c r="P43" s="301" t="str">
        <f>IFERROR(VLOOKUP(M43,CREXP[],2,FALSE),"-")</f>
        <v>-</v>
      </c>
      <c r="Q43" s="302"/>
      <c r="R43" s="302"/>
      <c r="S43" s="302"/>
      <c r="T43" s="303"/>
      <c r="U43" s="301" t="str">
        <f t="shared" si="84"/>
        <v>-</v>
      </c>
      <c r="V43" s="302"/>
      <c r="W43" s="302"/>
      <c r="X43" s="302"/>
      <c r="Y43" s="303"/>
      <c r="Z43" s="326" t="str">
        <f t="shared" si="83"/>
        <v>-</v>
      </c>
      <c r="AA43" s="212"/>
      <c r="AB43" s="212"/>
      <c r="AC43" s="213"/>
      <c r="AD43" s="36"/>
    </row>
    <row r="44" spans="1:51" ht="15" customHeight="1" x14ac:dyDescent="0.25">
      <c r="A44" s="228"/>
      <c r="B44" s="229"/>
      <c r="C44" s="229"/>
      <c r="D44" s="229"/>
      <c r="E44" s="229"/>
      <c r="F44" s="229"/>
      <c r="G44" s="229"/>
      <c r="H44" s="229"/>
      <c r="I44" s="229"/>
      <c r="J44" s="229"/>
      <c r="K44" s="230"/>
      <c r="L44" s="231"/>
      <c r="M44" s="232" t="str">
        <f>IFERROR(VLOOKUP(A44,Creatures[],5,FALSE),"-")</f>
        <v>-</v>
      </c>
      <c r="N44" s="233"/>
      <c r="O44" s="233"/>
      <c r="P44" s="301" t="str">
        <f>IFERROR(VLOOKUP(M44,CREXP[],2,FALSE),"-")</f>
        <v>-</v>
      </c>
      <c r="Q44" s="302"/>
      <c r="R44" s="302"/>
      <c r="S44" s="302"/>
      <c r="T44" s="303"/>
      <c r="U44" s="301" t="str">
        <f t="shared" si="84"/>
        <v>-</v>
      </c>
      <c r="V44" s="302"/>
      <c r="W44" s="302"/>
      <c r="X44" s="302"/>
      <c r="Y44" s="303"/>
      <c r="Z44" s="326" t="str">
        <f t="shared" si="83"/>
        <v>-</v>
      </c>
      <c r="AA44" s="212"/>
      <c r="AB44" s="212"/>
      <c r="AC44" s="213"/>
      <c r="AD44" s="36"/>
    </row>
    <row r="45" spans="1:51" ht="15" customHeight="1" x14ac:dyDescent="0.25">
      <c r="A45" s="228"/>
      <c r="B45" s="229"/>
      <c r="C45" s="229"/>
      <c r="D45" s="229"/>
      <c r="E45" s="229"/>
      <c r="F45" s="229"/>
      <c r="G45" s="229"/>
      <c r="H45" s="229"/>
      <c r="I45" s="229"/>
      <c r="J45" s="229"/>
      <c r="K45" s="230"/>
      <c r="L45" s="231"/>
      <c r="M45" s="232" t="str">
        <f>IFERROR(VLOOKUP(A45,Creatures[],5,FALSE),"-")</f>
        <v>-</v>
      </c>
      <c r="N45" s="233"/>
      <c r="O45" s="233"/>
      <c r="P45" s="301" t="str">
        <f>IFERROR(VLOOKUP(M45,CREXP[],2,FALSE),"-")</f>
        <v>-</v>
      </c>
      <c r="Q45" s="302"/>
      <c r="R45" s="302"/>
      <c r="S45" s="302"/>
      <c r="T45" s="303"/>
      <c r="U45" s="301" t="str">
        <f t="shared" si="84"/>
        <v>-</v>
      </c>
      <c r="V45" s="302"/>
      <c r="W45" s="302"/>
      <c r="X45" s="302"/>
      <c r="Y45" s="303"/>
      <c r="Z45" s="326" t="str">
        <f t="shared" si="83"/>
        <v>-</v>
      </c>
      <c r="AA45" s="212"/>
      <c r="AB45" s="212"/>
      <c r="AC45" s="213"/>
      <c r="AD45" s="36"/>
    </row>
    <row r="46" spans="1:51" ht="15" customHeight="1" x14ac:dyDescent="0.25">
      <c r="A46" s="228"/>
      <c r="B46" s="229"/>
      <c r="C46" s="229"/>
      <c r="D46" s="229"/>
      <c r="E46" s="229"/>
      <c r="F46" s="229"/>
      <c r="G46" s="229"/>
      <c r="H46" s="229"/>
      <c r="I46" s="229"/>
      <c r="J46" s="229"/>
      <c r="K46" s="230"/>
      <c r="L46" s="231"/>
      <c r="M46" s="232" t="str">
        <f>IFERROR(VLOOKUP(A46,Creatures[],5,FALSE),"-")</f>
        <v>-</v>
      </c>
      <c r="N46" s="233"/>
      <c r="O46" s="233"/>
      <c r="P46" s="301" t="str">
        <f>IFERROR(VLOOKUP(M46,CREXP[],2,FALSE),"-")</f>
        <v>-</v>
      </c>
      <c r="Q46" s="302"/>
      <c r="R46" s="302"/>
      <c r="S46" s="302"/>
      <c r="T46" s="303"/>
      <c r="U46" s="301" t="str">
        <f t="shared" si="84"/>
        <v>-</v>
      </c>
      <c r="V46" s="302"/>
      <c r="W46" s="302"/>
      <c r="X46" s="302"/>
      <c r="Y46" s="303"/>
      <c r="Z46" s="326" t="str">
        <f t="shared" si="83"/>
        <v>-</v>
      </c>
      <c r="AA46" s="212"/>
      <c r="AB46" s="212"/>
      <c r="AC46" s="213"/>
      <c r="AD46" s="36"/>
    </row>
    <row r="47" spans="1:51" ht="15" customHeight="1" x14ac:dyDescent="0.25">
      <c r="A47" s="228"/>
      <c r="B47" s="229"/>
      <c r="C47" s="229"/>
      <c r="D47" s="229"/>
      <c r="E47" s="229"/>
      <c r="F47" s="229"/>
      <c r="G47" s="229"/>
      <c r="H47" s="229"/>
      <c r="I47" s="229"/>
      <c r="J47" s="229"/>
      <c r="K47" s="230"/>
      <c r="L47" s="231"/>
      <c r="M47" s="232" t="str">
        <f>IFERROR(VLOOKUP(A47,Creatures[],5,FALSE),"-")</f>
        <v>-</v>
      </c>
      <c r="N47" s="233"/>
      <c r="O47" s="233"/>
      <c r="P47" s="301" t="str">
        <f>IFERROR(VLOOKUP(M47,CREXP[],2,FALSE),"-")</f>
        <v>-</v>
      </c>
      <c r="Q47" s="302"/>
      <c r="R47" s="302"/>
      <c r="S47" s="302"/>
      <c r="T47" s="303"/>
      <c r="U47" s="301" t="str">
        <f t="shared" si="84"/>
        <v>-</v>
      </c>
      <c r="V47" s="302"/>
      <c r="W47" s="302"/>
      <c r="X47" s="302"/>
      <c r="Y47" s="303"/>
      <c r="Z47" s="326" t="str">
        <f t="shared" si="83"/>
        <v>-</v>
      </c>
      <c r="AA47" s="212"/>
      <c r="AB47" s="212"/>
      <c r="AC47" s="213"/>
      <c r="AD47" s="36"/>
    </row>
    <row r="48" spans="1:51" ht="15" customHeight="1" x14ac:dyDescent="0.25">
      <c r="A48" s="228"/>
      <c r="B48" s="229"/>
      <c r="C48" s="229"/>
      <c r="D48" s="229"/>
      <c r="E48" s="229"/>
      <c r="F48" s="229"/>
      <c r="G48" s="229"/>
      <c r="H48" s="229"/>
      <c r="I48" s="229"/>
      <c r="J48" s="229"/>
      <c r="K48" s="230"/>
      <c r="L48" s="231"/>
      <c r="M48" s="232" t="str">
        <f>IFERROR(VLOOKUP(A48,Creatures[],5,FALSE),"-")</f>
        <v>-</v>
      </c>
      <c r="N48" s="233"/>
      <c r="O48" s="233"/>
      <c r="P48" s="301" t="str">
        <f>IFERROR(VLOOKUP(M48,CREXP[],2,FALSE),"-")</f>
        <v>-</v>
      </c>
      <c r="Q48" s="302"/>
      <c r="R48" s="302"/>
      <c r="S48" s="302"/>
      <c r="T48" s="303"/>
      <c r="U48" s="301" t="str">
        <f t="shared" si="84"/>
        <v>-</v>
      </c>
      <c r="V48" s="302"/>
      <c r="W48" s="302"/>
      <c r="X48" s="302"/>
      <c r="Y48" s="303"/>
      <c r="Z48" s="326" t="str">
        <f t="shared" si="83"/>
        <v>-</v>
      </c>
      <c r="AA48" s="212"/>
      <c r="AB48" s="212"/>
      <c r="AC48" s="213"/>
      <c r="AD48" s="36"/>
    </row>
    <row r="49" spans="1:32" ht="15" customHeight="1" x14ac:dyDescent="0.25">
      <c r="A49" s="228"/>
      <c r="B49" s="229"/>
      <c r="C49" s="229"/>
      <c r="D49" s="229"/>
      <c r="E49" s="229"/>
      <c r="F49" s="229"/>
      <c r="G49" s="229"/>
      <c r="H49" s="229"/>
      <c r="I49" s="229"/>
      <c r="J49" s="229"/>
      <c r="K49" s="230"/>
      <c r="L49" s="231"/>
      <c r="M49" s="232" t="str">
        <f>IFERROR(VLOOKUP(A49,Creatures[],5,FALSE),"-")</f>
        <v>-</v>
      </c>
      <c r="N49" s="233"/>
      <c r="O49" s="233"/>
      <c r="P49" s="301" t="str">
        <f>IFERROR(VLOOKUP(M49,CREXP[],2,FALSE),"-")</f>
        <v>-</v>
      </c>
      <c r="Q49" s="302"/>
      <c r="R49" s="302"/>
      <c r="S49" s="302"/>
      <c r="T49" s="303"/>
      <c r="U49" s="301" t="str">
        <f t="shared" si="84"/>
        <v>-</v>
      </c>
      <c r="V49" s="302"/>
      <c r="W49" s="302"/>
      <c r="X49" s="302"/>
      <c r="Y49" s="303"/>
      <c r="Z49" s="326" t="str">
        <f t="shared" si="83"/>
        <v>-</v>
      </c>
      <c r="AA49" s="212"/>
      <c r="AB49" s="212"/>
      <c r="AC49" s="213"/>
      <c r="AD49" s="36"/>
    </row>
    <row r="50" spans="1:32" ht="15" customHeight="1" x14ac:dyDescent="0.25">
      <c r="A50" s="228"/>
      <c r="B50" s="229"/>
      <c r="C50" s="229"/>
      <c r="D50" s="229"/>
      <c r="E50" s="229"/>
      <c r="F50" s="229"/>
      <c r="G50" s="229"/>
      <c r="H50" s="229"/>
      <c r="I50" s="229"/>
      <c r="J50" s="229"/>
      <c r="K50" s="230"/>
      <c r="L50" s="231"/>
      <c r="M50" s="232" t="str">
        <f>IFERROR(VLOOKUP(A50,Creatures[],5,FALSE),"-")</f>
        <v>-</v>
      </c>
      <c r="N50" s="233"/>
      <c r="O50" s="233"/>
      <c r="P50" s="301" t="str">
        <f>IFERROR(VLOOKUP(M50,CREXP[],2,FALSE),"-")</f>
        <v>-</v>
      </c>
      <c r="Q50" s="302"/>
      <c r="R50" s="302"/>
      <c r="S50" s="302"/>
      <c r="T50" s="303"/>
      <c r="U50" s="301" t="str">
        <f>IFERROR(P50*K50,"-")</f>
        <v>-</v>
      </c>
      <c r="V50" s="302"/>
      <c r="W50" s="302"/>
      <c r="X50" s="302"/>
      <c r="Y50" s="303"/>
      <c r="Z50" s="326" t="str">
        <f t="shared" si="83"/>
        <v>-</v>
      </c>
      <c r="AA50" s="212"/>
      <c r="AB50" s="212"/>
      <c r="AC50" s="213"/>
      <c r="AD50" s="36"/>
    </row>
    <row r="51" spans="1:32" ht="15" customHeight="1" x14ac:dyDescent="0.25">
      <c r="A51" s="228"/>
      <c r="B51" s="229"/>
      <c r="C51" s="229"/>
      <c r="D51" s="229"/>
      <c r="E51" s="229"/>
      <c r="F51" s="229"/>
      <c r="G51" s="229"/>
      <c r="H51" s="229"/>
      <c r="I51" s="229"/>
      <c r="J51" s="229"/>
      <c r="K51" s="230"/>
      <c r="L51" s="231"/>
      <c r="M51" s="232" t="str">
        <f>IFERROR(VLOOKUP(A51,Creatures[],5,FALSE),"-")</f>
        <v>-</v>
      </c>
      <c r="N51" s="233"/>
      <c r="O51" s="233"/>
      <c r="P51" s="301" t="str">
        <f>IFERROR(VLOOKUP(M51,CREXP[],2,FALSE),"-")</f>
        <v>-</v>
      </c>
      <c r="Q51" s="302"/>
      <c r="R51" s="302"/>
      <c r="S51" s="302"/>
      <c r="T51" s="303"/>
      <c r="U51" s="301" t="str">
        <f t="shared" si="84"/>
        <v>-</v>
      </c>
      <c r="V51" s="302"/>
      <c r="W51" s="302"/>
      <c r="X51" s="302"/>
      <c r="Y51" s="303"/>
      <c r="Z51" s="326" t="str">
        <f t="shared" si="83"/>
        <v>-</v>
      </c>
      <c r="AA51" s="212"/>
      <c r="AB51" s="212"/>
      <c r="AC51" s="213"/>
      <c r="AD51" s="36"/>
    </row>
    <row r="52" spans="1:32" ht="15" customHeight="1" x14ac:dyDescent="0.25">
      <c r="A52" s="228"/>
      <c r="B52" s="229"/>
      <c r="C52" s="229"/>
      <c r="D52" s="229"/>
      <c r="E52" s="229"/>
      <c r="F52" s="229"/>
      <c r="G52" s="229"/>
      <c r="H52" s="229"/>
      <c r="I52" s="229"/>
      <c r="J52" s="229"/>
      <c r="K52" s="230"/>
      <c r="L52" s="231"/>
      <c r="M52" s="232" t="str">
        <f>IFERROR(VLOOKUP(A52,Creatures[],5,FALSE),"-")</f>
        <v>-</v>
      </c>
      <c r="N52" s="233"/>
      <c r="O52" s="233"/>
      <c r="P52" s="301" t="str">
        <f>IFERROR(VLOOKUP(M52,CREXP[],2,FALSE),"-")</f>
        <v>-</v>
      </c>
      <c r="Q52" s="302"/>
      <c r="R52" s="302"/>
      <c r="S52" s="302"/>
      <c r="T52" s="303"/>
      <c r="U52" s="301" t="str">
        <f t="shared" si="84"/>
        <v>-</v>
      </c>
      <c r="V52" s="302"/>
      <c r="W52" s="302"/>
      <c r="X52" s="302"/>
      <c r="Y52" s="303"/>
      <c r="Z52" s="326" t="str">
        <f t="shared" si="83"/>
        <v>-</v>
      </c>
      <c r="AA52" s="212"/>
      <c r="AB52" s="212"/>
      <c r="AC52" s="213"/>
      <c r="AD52" s="36"/>
    </row>
    <row r="53" spans="1:32" ht="15" customHeight="1" x14ac:dyDescent="0.25">
      <c r="A53" s="228"/>
      <c r="B53" s="229"/>
      <c r="C53" s="229"/>
      <c r="D53" s="229"/>
      <c r="E53" s="229"/>
      <c r="F53" s="229"/>
      <c r="G53" s="229"/>
      <c r="H53" s="229"/>
      <c r="I53" s="229"/>
      <c r="J53" s="229"/>
      <c r="K53" s="230"/>
      <c r="L53" s="231"/>
      <c r="M53" s="232" t="str">
        <f>IFERROR(VLOOKUP(A53,Creatures[],5,FALSE),"-")</f>
        <v>-</v>
      </c>
      <c r="N53" s="233"/>
      <c r="O53" s="233"/>
      <c r="P53" s="301" t="str">
        <f>IFERROR(VLOOKUP(M53,CREXP[],2,FALSE),"-")</f>
        <v>-</v>
      </c>
      <c r="Q53" s="302"/>
      <c r="R53" s="302"/>
      <c r="S53" s="302"/>
      <c r="T53" s="303"/>
      <c r="U53" s="301" t="str">
        <f t="shared" si="84"/>
        <v>-</v>
      </c>
      <c r="V53" s="302"/>
      <c r="W53" s="302"/>
      <c r="X53" s="302"/>
      <c r="Y53" s="303"/>
      <c r="Z53" s="326" t="str">
        <f t="shared" si="83"/>
        <v>-</v>
      </c>
      <c r="AA53" s="212"/>
      <c r="AB53" s="212"/>
      <c r="AC53" s="213"/>
      <c r="AD53" s="36"/>
    </row>
    <row r="54" spans="1:32" ht="15" customHeight="1" x14ac:dyDescent="0.25">
      <c r="A54" s="228"/>
      <c r="B54" s="229"/>
      <c r="C54" s="229"/>
      <c r="D54" s="229"/>
      <c r="E54" s="229"/>
      <c r="F54" s="229"/>
      <c r="G54" s="229"/>
      <c r="H54" s="229"/>
      <c r="I54" s="229"/>
      <c r="J54" s="229"/>
      <c r="K54" s="230"/>
      <c r="L54" s="231"/>
      <c r="M54" s="232" t="str">
        <f>IFERROR(VLOOKUP(A54,Creatures[],5,FALSE),"-")</f>
        <v>-</v>
      </c>
      <c r="N54" s="233"/>
      <c r="O54" s="233"/>
      <c r="P54" s="301" t="str">
        <f>IFERROR(VLOOKUP(M54,CREXP[],2,FALSE),"-")</f>
        <v>-</v>
      </c>
      <c r="Q54" s="302"/>
      <c r="R54" s="302"/>
      <c r="S54" s="302"/>
      <c r="T54" s="303"/>
      <c r="U54" s="301" t="str">
        <f t="shared" si="84"/>
        <v>-</v>
      </c>
      <c r="V54" s="302"/>
      <c r="W54" s="302"/>
      <c r="X54" s="302"/>
      <c r="Y54" s="303"/>
      <c r="Z54" s="326" t="str">
        <f t="shared" si="83"/>
        <v>-</v>
      </c>
      <c r="AA54" s="212"/>
      <c r="AB54" s="212"/>
      <c r="AC54" s="213"/>
      <c r="AD54" s="36"/>
    </row>
    <row r="55" spans="1:32" ht="15" customHeight="1" x14ac:dyDescent="0.25">
      <c r="A55" s="228"/>
      <c r="B55" s="229"/>
      <c r="C55" s="229"/>
      <c r="D55" s="229"/>
      <c r="E55" s="229"/>
      <c r="F55" s="229"/>
      <c r="G55" s="229"/>
      <c r="H55" s="229"/>
      <c r="I55" s="229"/>
      <c r="J55" s="229"/>
      <c r="K55" s="230"/>
      <c r="L55" s="231"/>
      <c r="M55" s="232" t="str">
        <f>IFERROR(VLOOKUP(A55,Creatures[],5,FALSE),"-")</f>
        <v>-</v>
      </c>
      <c r="N55" s="233"/>
      <c r="O55" s="233"/>
      <c r="P55" s="301" t="str">
        <f>IFERROR(VLOOKUP(M55,CREXP[],2,FALSE),"-")</f>
        <v>-</v>
      </c>
      <c r="Q55" s="302"/>
      <c r="R55" s="302"/>
      <c r="S55" s="302"/>
      <c r="T55" s="303"/>
      <c r="U55" s="301" t="str">
        <f t="shared" si="84"/>
        <v>-</v>
      </c>
      <c r="V55" s="302"/>
      <c r="W55" s="302"/>
      <c r="X55" s="302"/>
      <c r="Y55" s="303"/>
      <c r="Z55" s="326" t="str">
        <f t="shared" si="83"/>
        <v>-</v>
      </c>
      <c r="AA55" s="212"/>
      <c r="AB55" s="212"/>
      <c r="AC55" s="213"/>
      <c r="AD55" s="36"/>
    </row>
    <row r="56" spans="1:32" ht="15" customHeight="1" x14ac:dyDescent="0.25">
      <c r="A56" s="228"/>
      <c r="B56" s="229"/>
      <c r="C56" s="229"/>
      <c r="D56" s="229"/>
      <c r="E56" s="229"/>
      <c r="F56" s="229"/>
      <c r="G56" s="229"/>
      <c r="H56" s="229"/>
      <c r="I56" s="229"/>
      <c r="J56" s="229"/>
      <c r="K56" s="230"/>
      <c r="L56" s="231"/>
      <c r="M56" s="232" t="str">
        <f>IFERROR(VLOOKUP(A56,Creatures[],5,FALSE),"-")</f>
        <v>-</v>
      </c>
      <c r="N56" s="233"/>
      <c r="O56" s="233"/>
      <c r="P56" s="301" t="str">
        <f>IFERROR(VLOOKUP(M56,CREXP[],2,FALSE),"-")</f>
        <v>-</v>
      </c>
      <c r="Q56" s="302"/>
      <c r="R56" s="302"/>
      <c r="S56" s="302"/>
      <c r="T56" s="303"/>
      <c r="U56" s="301" t="str">
        <f t="shared" si="84"/>
        <v>-</v>
      </c>
      <c r="V56" s="302"/>
      <c r="W56" s="302"/>
      <c r="X56" s="302"/>
      <c r="Y56" s="303"/>
      <c r="Z56" s="326" t="str">
        <f t="shared" si="83"/>
        <v>-</v>
      </c>
      <c r="AA56" s="212"/>
      <c r="AB56" s="212"/>
      <c r="AC56" s="213"/>
      <c r="AD56" s="36"/>
    </row>
    <row r="57" spans="1:32" ht="15" customHeight="1" x14ac:dyDescent="0.25">
      <c r="A57" s="228"/>
      <c r="B57" s="229"/>
      <c r="C57" s="229"/>
      <c r="D57" s="229"/>
      <c r="E57" s="229"/>
      <c r="F57" s="229"/>
      <c r="G57" s="229"/>
      <c r="H57" s="229"/>
      <c r="I57" s="229"/>
      <c r="J57" s="229"/>
      <c r="K57" s="230"/>
      <c r="L57" s="231"/>
      <c r="M57" s="232" t="str">
        <f>IFERROR(VLOOKUP(A57,Creatures[],5,FALSE),"-")</f>
        <v>-</v>
      </c>
      <c r="N57" s="233"/>
      <c r="O57" s="233"/>
      <c r="P57" s="301" t="str">
        <f>IFERROR(VLOOKUP(M57,CREXP[],2,FALSE),"-")</f>
        <v>-</v>
      </c>
      <c r="Q57" s="302"/>
      <c r="R57" s="302"/>
      <c r="S57" s="302"/>
      <c r="T57" s="303"/>
      <c r="U57" s="301" t="str">
        <f t="shared" si="84"/>
        <v>-</v>
      </c>
      <c r="V57" s="302"/>
      <c r="W57" s="302"/>
      <c r="X57" s="302"/>
      <c r="Y57" s="303"/>
      <c r="Z57" s="326" t="str">
        <f t="shared" si="83"/>
        <v>-</v>
      </c>
      <c r="AA57" s="212"/>
      <c r="AB57" s="212"/>
      <c r="AC57" s="213"/>
      <c r="AD57" s="36"/>
    </row>
    <row r="58" spans="1:32" ht="15" customHeight="1" x14ac:dyDescent="0.25">
      <c r="A58" s="228"/>
      <c r="B58" s="229"/>
      <c r="C58" s="229"/>
      <c r="D58" s="229"/>
      <c r="E58" s="229"/>
      <c r="F58" s="229"/>
      <c r="G58" s="229"/>
      <c r="H58" s="229"/>
      <c r="I58" s="229"/>
      <c r="J58" s="229"/>
      <c r="K58" s="230"/>
      <c r="L58" s="231"/>
      <c r="M58" s="232" t="str">
        <f>IFERROR(VLOOKUP(A58,Creatures[],5,FALSE),"-")</f>
        <v>-</v>
      </c>
      <c r="N58" s="233"/>
      <c r="O58" s="233"/>
      <c r="P58" s="301" t="str">
        <f>IFERROR(VLOOKUP(M58,CREXP[],2,FALSE),"-")</f>
        <v>-</v>
      </c>
      <c r="Q58" s="302"/>
      <c r="R58" s="302"/>
      <c r="S58" s="302"/>
      <c r="T58" s="303"/>
      <c r="U58" s="301" t="str">
        <f t="shared" si="84"/>
        <v>-</v>
      </c>
      <c r="V58" s="302"/>
      <c r="W58" s="302"/>
      <c r="X58" s="302"/>
      <c r="Y58" s="303"/>
      <c r="Z58" s="326" t="str">
        <f t="shared" si="83"/>
        <v>-</v>
      </c>
      <c r="AA58" s="212"/>
      <c r="AB58" s="212"/>
      <c r="AC58" s="213"/>
      <c r="AD58" s="36"/>
    </row>
    <row r="59" spans="1:32" ht="15" customHeight="1" x14ac:dyDescent="0.25">
      <c r="A59" s="228"/>
      <c r="B59" s="229"/>
      <c r="C59" s="229"/>
      <c r="D59" s="229"/>
      <c r="E59" s="229"/>
      <c r="F59" s="229"/>
      <c r="G59" s="229"/>
      <c r="H59" s="229"/>
      <c r="I59" s="229"/>
      <c r="J59" s="229"/>
      <c r="K59" s="230"/>
      <c r="L59" s="231"/>
      <c r="M59" s="232" t="str">
        <f>IFERROR(VLOOKUP(A59,Creatures[],5,FALSE),"-")</f>
        <v>-</v>
      </c>
      <c r="N59" s="233"/>
      <c r="O59" s="233"/>
      <c r="P59" s="301" t="str">
        <f>IFERROR(VLOOKUP(M59,CREXP[],2,FALSE),"-")</f>
        <v>-</v>
      </c>
      <c r="Q59" s="302"/>
      <c r="R59" s="302"/>
      <c r="S59" s="302"/>
      <c r="T59" s="303"/>
      <c r="U59" s="301" t="str">
        <f t="shared" si="84"/>
        <v>-</v>
      </c>
      <c r="V59" s="302"/>
      <c r="W59" s="302"/>
      <c r="X59" s="302"/>
      <c r="Y59" s="303"/>
      <c r="Z59" s="326" t="str">
        <f t="shared" si="83"/>
        <v>-</v>
      </c>
      <c r="AA59" s="212"/>
      <c r="AB59" s="212"/>
      <c r="AC59" s="213"/>
      <c r="AD59" s="36"/>
    </row>
    <row r="60" spans="1:32" ht="15" customHeight="1" x14ac:dyDescent="0.25">
      <c r="A60" s="228"/>
      <c r="B60" s="229"/>
      <c r="C60" s="229"/>
      <c r="D60" s="229"/>
      <c r="E60" s="229"/>
      <c r="F60" s="229"/>
      <c r="G60" s="229"/>
      <c r="H60" s="229"/>
      <c r="I60" s="229"/>
      <c r="J60" s="229"/>
      <c r="K60" s="230"/>
      <c r="L60" s="231"/>
      <c r="M60" s="232" t="str">
        <f>IFERROR(VLOOKUP(A60,Creatures[],5,FALSE),"-")</f>
        <v>-</v>
      </c>
      <c r="N60" s="233"/>
      <c r="O60" s="233"/>
      <c r="P60" s="301" t="str">
        <f>IFERROR(VLOOKUP(M60,CREXP[],2,FALSE),"-")</f>
        <v>-</v>
      </c>
      <c r="Q60" s="302"/>
      <c r="R60" s="302"/>
      <c r="S60" s="302"/>
      <c r="T60" s="303"/>
      <c r="U60" s="301" t="str">
        <f t="shared" si="84"/>
        <v>-</v>
      </c>
      <c r="V60" s="302"/>
      <c r="W60" s="302"/>
      <c r="X60" s="302"/>
      <c r="Y60" s="303"/>
      <c r="Z60" s="326" t="str">
        <f t="shared" si="83"/>
        <v>-</v>
      </c>
      <c r="AA60" s="212"/>
      <c r="AB60" s="212"/>
      <c r="AC60" s="213"/>
      <c r="AD60" s="36"/>
    </row>
    <row r="61" spans="1:32" ht="15" customHeight="1" x14ac:dyDescent="0.25">
      <c r="A61" s="228"/>
      <c r="B61" s="229"/>
      <c r="C61" s="229"/>
      <c r="D61" s="229"/>
      <c r="E61" s="229"/>
      <c r="F61" s="229"/>
      <c r="G61" s="229"/>
      <c r="H61" s="229"/>
      <c r="I61" s="229"/>
      <c r="J61" s="229"/>
      <c r="K61" s="230"/>
      <c r="L61" s="231"/>
      <c r="M61" s="232" t="str">
        <f>IFERROR(VLOOKUP(A61,Creatures[],5,FALSE),"-")</f>
        <v>-</v>
      </c>
      <c r="N61" s="233"/>
      <c r="O61" s="233"/>
      <c r="P61" s="301" t="str">
        <f>IFERROR(VLOOKUP(M61,CREXP[],2,FALSE),"-")</f>
        <v>-</v>
      </c>
      <c r="Q61" s="302"/>
      <c r="R61" s="302"/>
      <c r="S61" s="302"/>
      <c r="T61" s="303"/>
      <c r="U61" s="301" t="str">
        <f t="shared" si="84"/>
        <v>-</v>
      </c>
      <c r="V61" s="302"/>
      <c r="W61" s="302"/>
      <c r="X61" s="302"/>
      <c r="Y61" s="303"/>
      <c r="Z61" s="326" t="str">
        <f t="shared" si="83"/>
        <v>-</v>
      </c>
      <c r="AA61" s="212"/>
      <c r="AB61" s="212"/>
      <c r="AC61" s="213"/>
      <c r="AD61" s="36"/>
    </row>
    <row r="62" spans="1:32" ht="15" customHeight="1" x14ac:dyDescent="0.25">
      <c r="A62" s="228"/>
      <c r="B62" s="229"/>
      <c r="C62" s="229"/>
      <c r="D62" s="229"/>
      <c r="E62" s="229"/>
      <c r="F62" s="229"/>
      <c r="G62" s="229"/>
      <c r="H62" s="229"/>
      <c r="I62" s="229"/>
      <c r="J62" s="229"/>
      <c r="K62" s="230"/>
      <c r="L62" s="231"/>
      <c r="M62" s="232" t="str">
        <f>IFERROR(VLOOKUP(A62,Creatures[],5,FALSE),"-")</f>
        <v>-</v>
      </c>
      <c r="N62" s="233"/>
      <c r="O62" s="233"/>
      <c r="P62" s="301" t="str">
        <f>IFERROR(VLOOKUP(M62,CREXP[],2,FALSE),"-")</f>
        <v>-</v>
      </c>
      <c r="Q62" s="302"/>
      <c r="R62" s="302"/>
      <c r="S62" s="302"/>
      <c r="T62" s="303"/>
      <c r="U62" s="301" t="str">
        <f t="shared" si="84"/>
        <v>-</v>
      </c>
      <c r="V62" s="302"/>
      <c r="W62" s="302"/>
      <c r="X62" s="302"/>
      <c r="Y62" s="303"/>
      <c r="Z62" s="326" t="str">
        <f t="shared" si="83"/>
        <v>-</v>
      </c>
      <c r="AA62" s="212"/>
      <c r="AB62" s="212"/>
      <c r="AC62" s="213"/>
      <c r="AD62" s="36"/>
    </row>
    <row r="63" spans="1:32" ht="15" customHeight="1" thickBot="1" x14ac:dyDescent="0.3">
      <c r="A63" s="238"/>
      <c r="B63" s="239"/>
      <c r="C63" s="239"/>
      <c r="D63" s="239"/>
      <c r="E63" s="239"/>
      <c r="F63" s="239"/>
      <c r="G63" s="239"/>
      <c r="H63" s="239"/>
      <c r="I63" s="239"/>
      <c r="J63" s="239"/>
      <c r="K63" s="240"/>
      <c r="L63" s="241"/>
      <c r="M63" s="242" t="str">
        <f>IFERROR(VLOOKUP(A63,Creatures[],5,FALSE),"-")</f>
        <v>-</v>
      </c>
      <c r="N63" s="243"/>
      <c r="O63" s="243"/>
      <c r="P63" s="304" t="str">
        <f>IFERROR(VLOOKUP(M63,CREXP[],2,FALSE),"-")</f>
        <v>-</v>
      </c>
      <c r="Q63" s="305"/>
      <c r="R63" s="305"/>
      <c r="S63" s="305"/>
      <c r="T63" s="306"/>
      <c r="U63" s="304" t="str">
        <f t="shared" si="84"/>
        <v>-</v>
      </c>
      <c r="V63" s="305"/>
      <c r="W63" s="305"/>
      <c r="X63" s="305"/>
      <c r="Y63" s="306"/>
      <c r="Z63" s="328" t="str">
        <f t="shared" si="83"/>
        <v>-</v>
      </c>
      <c r="AA63" s="214"/>
      <c r="AB63" s="214"/>
      <c r="AC63" s="215"/>
      <c r="AD63" s="36"/>
    </row>
    <row r="64" spans="1:32" ht="15" customHeight="1" x14ac:dyDescent="0.25">
      <c r="AF64" s="36"/>
    </row>
  </sheetData>
  <mergeCells count="351">
    <mergeCell ref="Z46:AC46"/>
    <mergeCell ref="L28:M28"/>
    <mergeCell ref="Z60:AC60"/>
    <mergeCell ref="Z61:AC61"/>
    <mergeCell ref="Z62:AC62"/>
    <mergeCell ref="Z63:AC63"/>
    <mergeCell ref="Z32:AC32"/>
    <mergeCell ref="Z34:AC34"/>
    <mergeCell ref="Z35:AC35"/>
    <mergeCell ref="Z36:AC36"/>
    <mergeCell ref="Z37:AC37"/>
    <mergeCell ref="Z38:AC38"/>
    <mergeCell ref="Z39:AC39"/>
    <mergeCell ref="Z40:AC40"/>
    <mergeCell ref="Z41:AC41"/>
    <mergeCell ref="Z56:AC56"/>
    <mergeCell ref="Z57:AC57"/>
    <mergeCell ref="Z58:AC58"/>
    <mergeCell ref="Z59:AC59"/>
    <mergeCell ref="Z53:AC53"/>
    <mergeCell ref="Z54:AC54"/>
    <mergeCell ref="Z55:AC55"/>
    <mergeCell ref="Z51:AC51"/>
    <mergeCell ref="Z44:AC44"/>
    <mergeCell ref="Z45:AC45"/>
    <mergeCell ref="AN28:AO28"/>
    <mergeCell ref="AP28:AQ28"/>
    <mergeCell ref="AR28:AS28"/>
    <mergeCell ref="AT28:AU28"/>
    <mergeCell ref="AV28:AW28"/>
    <mergeCell ref="AX28:AY28"/>
    <mergeCell ref="AB28:AC28"/>
    <mergeCell ref="AD28:AE28"/>
    <mergeCell ref="AF28:AG28"/>
    <mergeCell ref="AH28:AI28"/>
    <mergeCell ref="AJ28:AK28"/>
    <mergeCell ref="AL28:AM28"/>
    <mergeCell ref="AT29:AU29"/>
    <mergeCell ref="AV29:AW29"/>
    <mergeCell ref="AX29:AY29"/>
    <mergeCell ref="AN29:AO29"/>
    <mergeCell ref="AP29:AQ29"/>
    <mergeCell ref="AR29:AS29"/>
    <mergeCell ref="AT30:AU30"/>
    <mergeCell ref="AV30:AW30"/>
    <mergeCell ref="AX30:AY30"/>
    <mergeCell ref="AH30:AI30"/>
    <mergeCell ref="AJ30:AK30"/>
    <mergeCell ref="N28:O28"/>
    <mergeCell ref="AD29:AE29"/>
    <mergeCell ref="AF29:AG29"/>
    <mergeCell ref="R29:S29"/>
    <mergeCell ref="T29:U29"/>
    <mergeCell ref="V29:W29"/>
    <mergeCell ref="X29:Y29"/>
    <mergeCell ref="Z29:AA29"/>
    <mergeCell ref="AB29:AC29"/>
    <mergeCell ref="P28:Q28"/>
    <mergeCell ref="R28:S28"/>
    <mergeCell ref="T28:U28"/>
    <mergeCell ref="V28:W28"/>
    <mergeCell ref="X28:Y28"/>
    <mergeCell ref="Z28:AA28"/>
    <mergeCell ref="AP30:AQ30"/>
    <mergeCell ref="AR30:AS30"/>
    <mergeCell ref="AH29:AI29"/>
    <mergeCell ref="AJ29:AK29"/>
    <mergeCell ref="AL29:AM29"/>
    <mergeCell ref="AP27:AQ27"/>
    <mergeCell ref="AR27:AS27"/>
    <mergeCell ref="V30:W30"/>
    <mergeCell ref="X30:Y30"/>
    <mergeCell ref="Z30:AA30"/>
    <mergeCell ref="AB30:AC30"/>
    <mergeCell ref="AD30:AE30"/>
    <mergeCell ref="AF30:AG30"/>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AL30:AM30"/>
    <mergeCell ref="AN30:AO30"/>
    <mergeCell ref="M62:O62"/>
    <mergeCell ref="A63:J63"/>
    <mergeCell ref="K63:L63"/>
    <mergeCell ref="M63:O63"/>
    <mergeCell ref="M60:O60"/>
    <mergeCell ref="M61:O61"/>
    <mergeCell ref="M58:O58"/>
    <mergeCell ref="M59:O59"/>
    <mergeCell ref="A29:G29"/>
    <mergeCell ref="H29:I29"/>
    <mergeCell ref="J29:K29"/>
    <mergeCell ref="L29:M29"/>
    <mergeCell ref="N29:O29"/>
    <mergeCell ref="M56:O56"/>
    <mergeCell ref="M57:O57"/>
    <mergeCell ref="M50:O50"/>
    <mergeCell ref="M51:O51"/>
    <mergeCell ref="M54:O54"/>
    <mergeCell ref="M55:O55"/>
    <mergeCell ref="M52:O52"/>
    <mergeCell ref="M53:O53"/>
    <mergeCell ref="M36:O36"/>
    <mergeCell ref="M37:O37"/>
    <mergeCell ref="M35:O35"/>
    <mergeCell ref="Z48:AC48"/>
    <mergeCell ref="Z49:AC49"/>
    <mergeCell ref="Z50:AC50"/>
    <mergeCell ref="U48:Y48"/>
    <mergeCell ref="U49:Y49"/>
    <mergeCell ref="U50:Y50"/>
    <mergeCell ref="Z52:AC52"/>
    <mergeCell ref="P49:T49"/>
    <mergeCell ref="P50:T50"/>
    <mergeCell ref="P51:T51"/>
    <mergeCell ref="P52:T52"/>
    <mergeCell ref="M42:O42"/>
    <mergeCell ref="M43:O43"/>
    <mergeCell ref="M46:O46"/>
    <mergeCell ref="M47:O47"/>
    <mergeCell ref="M44:O44"/>
    <mergeCell ref="M45:O45"/>
    <mergeCell ref="P44:T44"/>
    <mergeCell ref="P45:T45"/>
    <mergeCell ref="P55:T55"/>
    <mergeCell ref="M48:O48"/>
    <mergeCell ref="M49:O49"/>
    <mergeCell ref="P53:T53"/>
    <mergeCell ref="P54:T54"/>
    <mergeCell ref="M41:O41"/>
    <mergeCell ref="Z42:AC42"/>
    <mergeCell ref="Z43:AC43"/>
    <mergeCell ref="M39:O39"/>
    <mergeCell ref="P41:T41"/>
    <mergeCell ref="P42:T42"/>
    <mergeCell ref="P43:T43"/>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Z47:AC47"/>
    <mergeCell ref="K60:L60"/>
    <mergeCell ref="A56:J56"/>
    <mergeCell ref="K56:L56"/>
    <mergeCell ref="A57:J57"/>
    <mergeCell ref="K57:L57"/>
    <mergeCell ref="A58:J58"/>
    <mergeCell ref="K58:L58"/>
    <mergeCell ref="A44:J44"/>
    <mergeCell ref="K44:L44"/>
    <mergeCell ref="A45:J45"/>
    <mergeCell ref="K45:L45"/>
    <mergeCell ref="A46:J46"/>
    <mergeCell ref="K46:L46"/>
    <mergeCell ref="A55:J55"/>
    <mergeCell ref="K55:L55"/>
    <mergeCell ref="A41:J41"/>
    <mergeCell ref="K41:L41"/>
    <mergeCell ref="A42:J42"/>
    <mergeCell ref="K42:L42"/>
    <mergeCell ref="A43:J43"/>
    <mergeCell ref="K43:L43"/>
    <mergeCell ref="A53:J53"/>
    <mergeCell ref="K53:L53"/>
    <mergeCell ref="A54:J54"/>
    <mergeCell ref="K54:L54"/>
    <mergeCell ref="A50:J50"/>
    <mergeCell ref="K50:L50"/>
    <mergeCell ref="A51:J51"/>
    <mergeCell ref="V26:W26"/>
    <mergeCell ref="X26:Y26"/>
    <mergeCell ref="Z26:AA26"/>
    <mergeCell ref="K40:L40"/>
    <mergeCell ref="A35:J35"/>
    <mergeCell ref="K35:L35"/>
    <mergeCell ref="A36:J36"/>
    <mergeCell ref="K36:L36"/>
    <mergeCell ref="A37:J37"/>
    <mergeCell ref="K37:L37"/>
    <mergeCell ref="A32:J32"/>
    <mergeCell ref="K32:L32"/>
    <mergeCell ref="A33:J33"/>
    <mergeCell ref="A34:J34"/>
    <mergeCell ref="K34:L34"/>
    <mergeCell ref="M38:O38"/>
    <mergeCell ref="A38:J38"/>
    <mergeCell ref="K38:L38"/>
    <mergeCell ref="A39:J39"/>
    <mergeCell ref="K39:L39"/>
    <mergeCell ref="A40:J40"/>
    <mergeCell ref="M40:O40"/>
    <mergeCell ref="P29:Q29"/>
    <mergeCell ref="P30:Q30"/>
    <mergeCell ref="A26:G26"/>
    <mergeCell ref="M32:O32"/>
    <mergeCell ref="M34:O34"/>
    <mergeCell ref="J27:K27"/>
    <mergeCell ref="L27:M27"/>
    <mergeCell ref="N27:O27"/>
    <mergeCell ref="P27:Q27"/>
    <mergeCell ref="A5:E5"/>
    <mergeCell ref="F5:G5"/>
    <mergeCell ref="P32:T32"/>
    <mergeCell ref="P33:T33"/>
    <mergeCell ref="P34:T34"/>
    <mergeCell ref="L26:M26"/>
    <mergeCell ref="N26:O26"/>
    <mergeCell ref="P26:Q26"/>
    <mergeCell ref="R26:S26"/>
    <mergeCell ref="T26:U26"/>
    <mergeCell ref="R30:S30"/>
    <mergeCell ref="T30:U30"/>
    <mergeCell ref="A28:B28"/>
    <mergeCell ref="E28:G28"/>
    <mergeCell ref="C28:D28"/>
    <mergeCell ref="H28:I28"/>
    <mergeCell ref="J28:K28"/>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AN26:AO26"/>
    <mergeCell ref="AP26:AQ26"/>
    <mergeCell ref="AR26:AS26"/>
    <mergeCell ref="AT26:AU26"/>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 ref="P35:T35"/>
    <mergeCell ref="P36:T36"/>
    <mergeCell ref="P37:T37"/>
    <mergeCell ref="P38:T38"/>
    <mergeCell ref="P39:T39"/>
    <mergeCell ref="P40:T40"/>
    <mergeCell ref="P46:T46"/>
    <mergeCell ref="P47:T47"/>
    <mergeCell ref="P48:T48"/>
    <mergeCell ref="P56:T56"/>
    <mergeCell ref="P57:T57"/>
    <mergeCell ref="P58:T58"/>
    <mergeCell ref="P59:T59"/>
    <mergeCell ref="P60:T60"/>
    <mergeCell ref="P61:T61"/>
    <mergeCell ref="P62:T62"/>
    <mergeCell ref="P63:T63"/>
    <mergeCell ref="U32:Y32"/>
    <mergeCell ref="U33:Y33"/>
    <mergeCell ref="U34:Y34"/>
    <mergeCell ref="U35:Y35"/>
    <mergeCell ref="U36:Y36"/>
    <mergeCell ref="U37:Y37"/>
    <mergeCell ref="U38:Y38"/>
    <mergeCell ref="U39:Y39"/>
    <mergeCell ref="U40:Y40"/>
    <mergeCell ref="U41:Y41"/>
    <mergeCell ref="U42:Y42"/>
    <mergeCell ref="U43:Y43"/>
    <mergeCell ref="U44:Y44"/>
    <mergeCell ref="U45:Y45"/>
    <mergeCell ref="U46:Y46"/>
    <mergeCell ref="U47:Y47"/>
    <mergeCell ref="U60:Y60"/>
    <mergeCell ref="U61:Y61"/>
    <mergeCell ref="U62:Y62"/>
    <mergeCell ref="U63:Y63"/>
    <mergeCell ref="U51:Y51"/>
    <mergeCell ref="U52:Y52"/>
    <mergeCell ref="U53:Y53"/>
    <mergeCell ref="U54:Y54"/>
    <mergeCell ref="U55:Y55"/>
    <mergeCell ref="U56:Y56"/>
    <mergeCell ref="U57:Y57"/>
    <mergeCell ref="U58:Y58"/>
    <mergeCell ref="U59:Y59"/>
  </mergeCells>
  <conditionalFormatting sqref="H14:AC23">
    <cfRule type="expression" dxfId="30" priority="483">
      <formula>MOD(H14,1)&gt;0</formula>
    </cfRule>
  </conditionalFormatting>
  <conditionalFormatting sqref="L28 N28 P28 R28 T28 V28 X28 Z28 AB28 AD28 AF28 AH28 AJ28 AL28 AN28 AP28 AR28 AT28 AV28">
    <cfRule type="expression" dxfId="29" priority="457">
      <formula>MOD(L28,1)&gt;0</formula>
    </cfRule>
  </conditionalFormatting>
  <conditionalFormatting sqref="AX28">
    <cfRule type="expression" dxfId="28" priority="458">
      <formula>MOD(AX28,1)&gt;0</formula>
    </cfRule>
  </conditionalFormatting>
  <conditionalFormatting sqref="H28 J28">
    <cfRule type="expression" dxfId="27" priority="459">
      <formula>MOD(H28,1)&gt;0</formula>
    </cfRule>
  </conditionalFormatting>
  <conditionalFormatting sqref="X30">
    <cfRule type="colorScale" priority="57">
      <colorScale>
        <cfvo type="num" val="-$X$26"/>
        <cfvo type="num" val="0"/>
        <cfvo type="num" val="$X$26"/>
        <color rgb="FFC00000"/>
        <color theme="0"/>
        <color rgb="FF00B0F0"/>
      </colorScale>
    </cfRule>
  </conditionalFormatting>
  <conditionalFormatting sqref="X30">
    <cfRule type="expression" dxfId="26" priority="56">
      <formula>$X$26=0</formula>
    </cfRule>
  </conditionalFormatting>
  <conditionalFormatting sqref="Z30">
    <cfRule type="colorScale" priority="55">
      <colorScale>
        <cfvo type="num" val="-$Z$26"/>
        <cfvo type="num" val="0"/>
        <cfvo type="num" val="$Z$26"/>
        <color rgb="FFC00000"/>
        <color theme="0"/>
        <color rgb="FF00B0F0"/>
      </colorScale>
    </cfRule>
  </conditionalFormatting>
  <conditionalFormatting sqref="Z30">
    <cfRule type="expression" dxfId="25" priority="54">
      <formula>$Z$26=0</formula>
    </cfRule>
  </conditionalFormatting>
  <conditionalFormatting sqref="AB30">
    <cfRule type="colorScale" priority="53">
      <colorScale>
        <cfvo type="num" val="-$AB$26"/>
        <cfvo type="num" val="0"/>
        <cfvo type="num" val="$AB$26"/>
        <color rgb="FFC00000"/>
        <color theme="0"/>
        <color rgb="FF00B0F0"/>
      </colorScale>
    </cfRule>
  </conditionalFormatting>
  <conditionalFormatting sqref="AB30">
    <cfRule type="expression" dxfId="24" priority="52">
      <formula>$AB$26=0</formula>
    </cfRule>
  </conditionalFormatting>
  <conditionalFormatting sqref="AD30">
    <cfRule type="colorScale" priority="51">
      <colorScale>
        <cfvo type="num" val="-$AD$26"/>
        <cfvo type="num" val="0"/>
        <cfvo type="num" val="$AD$26"/>
        <color rgb="FFC00000"/>
        <color theme="0"/>
        <color rgb="FF00B0F0"/>
      </colorScale>
    </cfRule>
  </conditionalFormatting>
  <conditionalFormatting sqref="AD30">
    <cfRule type="expression" dxfId="23" priority="50">
      <formula>$AD$26=0</formula>
    </cfRule>
  </conditionalFormatting>
  <conditionalFormatting sqref="AF30">
    <cfRule type="colorScale" priority="49">
      <colorScale>
        <cfvo type="num" val="-$AF$26"/>
        <cfvo type="num" val="0"/>
        <cfvo type="num" val="$AF$26"/>
        <color rgb="FFC00000"/>
        <color theme="0"/>
        <color rgb="FF00B0F0"/>
      </colorScale>
    </cfRule>
  </conditionalFormatting>
  <conditionalFormatting sqref="AF30">
    <cfRule type="expression" dxfId="22" priority="48">
      <formula>$AF$26=0</formula>
    </cfRule>
  </conditionalFormatting>
  <conditionalFormatting sqref="AH30">
    <cfRule type="colorScale" priority="47">
      <colorScale>
        <cfvo type="num" val="-$AH$26"/>
        <cfvo type="num" val="0"/>
        <cfvo type="num" val="$AH$26"/>
        <color rgb="FFC00000"/>
        <color theme="0"/>
        <color rgb="FF00B0F0"/>
      </colorScale>
    </cfRule>
  </conditionalFormatting>
  <conditionalFormatting sqref="AH30">
    <cfRule type="expression" dxfId="21" priority="46">
      <formula>$AH$26=0</formula>
    </cfRule>
  </conditionalFormatting>
  <conditionalFormatting sqref="AJ30">
    <cfRule type="colorScale" priority="45">
      <colorScale>
        <cfvo type="num" val="-$AJ$26"/>
        <cfvo type="num" val="0"/>
        <cfvo type="num" val="$AJ$26"/>
        <color rgb="FFC00000"/>
        <color theme="0"/>
        <color rgb="FF00B0F0"/>
      </colorScale>
    </cfRule>
  </conditionalFormatting>
  <conditionalFormatting sqref="AJ30">
    <cfRule type="expression" dxfId="20" priority="44">
      <formula>$AJ$26=0</formula>
    </cfRule>
  </conditionalFormatting>
  <conditionalFormatting sqref="AL30">
    <cfRule type="colorScale" priority="43">
      <colorScale>
        <cfvo type="num" val="-$AL$26"/>
        <cfvo type="num" val="0"/>
        <cfvo type="num" val="$AL$26"/>
        <color rgb="FFC00000"/>
        <color theme="0"/>
        <color rgb="FF00B0F0"/>
      </colorScale>
    </cfRule>
  </conditionalFormatting>
  <conditionalFormatting sqref="AL30">
    <cfRule type="expression" dxfId="19" priority="42">
      <formula>$AL$26=0</formula>
    </cfRule>
  </conditionalFormatting>
  <conditionalFormatting sqref="AV30">
    <cfRule type="colorScale" priority="33">
      <colorScale>
        <cfvo type="num" val="-$AV$26"/>
        <cfvo type="num" val="0"/>
        <cfvo type="num" val="$AV$26"/>
        <color rgb="FFC00000"/>
        <color theme="0"/>
        <color rgb="FF00B0F0"/>
      </colorScale>
    </cfRule>
  </conditionalFormatting>
  <conditionalFormatting sqref="AV30">
    <cfRule type="expression" dxfId="18" priority="32">
      <formula>$AV$26=0</formula>
    </cfRule>
  </conditionalFormatting>
  <conditionalFormatting sqref="AX30">
    <cfRule type="colorScale" priority="31">
      <colorScale>
        <cfvo type="num" val="-$AX$26"/>
        <cfvo type="num" val="0"/>
        <cfvo type="num" val="$AX$26"/>
        <color rgb="FFC00000"/>
        <color theme="0"/>
        <color rgb="FF00B0F0"/>
      </colorScale>
    </cfRule>
  </conditionalFormatting>
  <conditionalFormatting sqref="AX30">
    <cfRule type="expression" dxfId="17" priority="30">
      <formula>$AX$26=0</formula>
    </cfRule>
  </conditionalFormatting>
  <conditionalFormatting sqref="H30">
    <cfRule type="expression" dxfId="16" priority="72">
      <formula>$H$26=0</formula>
    </cfRule>
    <cfRule type="colorScale" priority="73">
      <colorScale>
        <cfvo type="num" val="-$H$26"/>
        <cfvo type="num" val="0"/>
        <cfvo type="num" val="$H$26"/>
        <color rgb="FFC00000"/>
        <color theme="0"/>
        <color rgb="FF00B0F0"/>
      </colorScale>
    </cfRule>
  </conditionalFormatting>
  <conditionalFormatting sqref="J30">
    <cfRule type="expression" dxfId="15" priority="70">
      <formula>$J$26=0</formula>
    </cfRule>
    <cfRule type="colorScale" priority="71">
      <colorScale>
        <cfvo type="num" val="-$J$26"/>
        <cfvo type="num" val="0"/>
        <cfvo type="num" val="$J$26"/>
        <color rgb="FFC00000"/>
        <color theme="0"/>
        <color rgb="FF00B0F0"/>
      </colorScale>
    </cfRule>
  </conditionalFormatting>
  <conditionalFormatting sqref="L30">
    <cfRule type="expression" dxfId="14" priority="68">
      <formula>$L$26=0</formula>
    </cfRule>
    <cfRule type="colorScale" priority="69">
      <colorScale>
        <cfvo type="num" val="-$L$26"/>
        <cfvo type="num" val="0"/>
        <cfvo type="num" val="$L$26"/>
        <color rgb="FFC00000"/>
        <color theme="0"/>
        <color rgb="FF00B0F0"/>
      </colorScale>
    </cfRule>
  </conditionalFormatting>
  <conditionalFormatting sqref="N30">
    <cfRule type="expression" dxfId="13" priority="66">
      <formula>$N$26=0</formula>
    </cfRule>
    <cfRule type="colorScale" priority="67">
      <colorScale>
        <cfvo type="num" val="-$N$26"/>
        <cfvo type="num" val="0"/>
        <cfvo type="num" val="$N$26"/>
        <color rgb="FFC00000"/>
        <color theme="0"/>
        <color rgb="FF00B0F0"/>
      </colorScale>
    </cfRule>
  </conditionalFormatting>
  <conditionalFormatting sqref="P30">
    <cfRule type="expression" dxfId="12" priority="64">
      <formula>$P$26=0</formula>
    </cfRule>
    <cfRule type="colorScale" priority="65">
      <colorScale>
        <cfvo type="num" val="-$P$26"/>
        <cfvo type="num" val="0"/>
        <cfvo type="num" val="$P$26"/>
        <color rgb="FFC00000"/>
        <color theme="0"/>
        <color rgb="FF00B0F0"/>
      </colorScale>
    </cfRule>
  </conditionalFormatting>
  <conditionalFormatting sqref="R30">
    <cfRule type="expression" dxfId="11" priority="62">
      <formula>$R$26=0</formula>
    </cfRule>
    <cfRule type="colorScale" priority="63">
      <colorScale>
        <cfvo type="num" val="-$R$26"/>
        <cfvo type="num" val="0"/>
        <cfvo type="num" val="$R$26"/>
        <color rgb="FFC00000"/>
        <color theme="0"/>
        <color rgb="FF00B0F0"/>
      </colorScale>
    </cfRule>
  </conditionalFormatting>
  <conditionalFormatting sqref="T30">
    <cfRule type="expression" dxfId="10" priority="60">
      <formula>$T$26=0</formula>
    </cfRule>
    <cfRule type="colorScale" priority="61">
      <colorScale>
        <cfvo type="num" val="-$T$26"/>
        <cfvo type="num" val="0"/>
        <cfvo type="num" val="$T$26"/>
        <color rgb="FFC00000"/>
        <color theme="0"/>
        <color rgb="FF00B0F0"/>
      </colorScale>
    </cfRule>
  </conditionalFormatting>
  <conditionalFormatting sqref="V30">
    <cfRule type="expression" dxfId="9" priority="58">
      <formula>$V$26=0</formula>
    </cfRule>
    <cfRule type="colorScale" priority="59">
      <colorScale>
        <cfvo type="num" val="-$V$26"/>
        <cfvo type="num" val="0"/>
        <cfvo type="num" val="$V$26"/>
        <color rgb="FFC00000"/>
        <color theme="0"/>
        <color rgb="FF00B0F0"/>
      </colorScale>
    </cfRule>
  </conditionalFormatting>
  <conditionalFormatting sqref="AN30">
    <cfRule type="colorScale" priority="41">
      <colorScale>
        <cfvo type="num" val="-$AN$26"/>
        <cfvo type="num" val="0"/>
        <cfvo type="num" val="$AN$26"/>
        <color rgb="FFC00000"/>
        <color theme="0"/>
        <color rgb="FF00B0F0"/>
      </colorScale>
    </cfRule>
  </conditionalFormatting>
  <conditionalFormatting sqref="AN30">
    <cfRule type="expression" dxfId="8" priority="40">
      <formula>$AN$26=0</formula>
    </cfRule>
  </conditionalFormatting>
  <conditionalFormatting sqref="AP30">
    <cfRule type="colorScale" priority="39">
      <colorScale>
        <cfvo type="num" val="-$AP$26"/>
        <cfvo type="num" val="0"/>
        <cfvo type="num" val="$AP$26"/>
        <color rgb="FFC00000"/>
        <color theme="0"/>
        <color rgb="FF00B0F0"/>
      </colorScale>
    </cfRule>
  </conditionalFormatting>
  <conditionalFormatting sqref="AP30">
    <cfRule type="expression" dxfId="7" priority="38">
      <formula>$AP$26=0</formula>
    </cfRule>
  </conditionalFormatting>
  <conditionalFormatting sqref="AR30">
    <cfRule type="colorScale" priority="37">
      <colorScale>
        <cfvo type="num" val="-$AR$26"/>
        <cfvo type="num" val="0"/>
        <cfvo type="num" val="$AR$26"/>
        <color rgb="FFC00000"/>
        <color theme="0"/>
        <color rgb="FF00B0F0"/>
      </colorScale>
    </cfRule>
  </conditionalFormatting>
  <conditionalFormatting sqref="AR30">
    <cfRule type="expression" dxfId="6" priority="36">
      <formula>$AR$26=0</formula>
    </cfRule>
  </conditionalFormatting>
  <conditionalFormatting sqref="AT30">
    <cfRule type="colorScale" priority="35">
      <colorScale>
        <cfvo type="num" val="-$AT$26"/>
        <cfvo type="num" val="0"/>
        <cfvo type="num" val="$AT$26"/>
        <color rgb="FFC00000"/>
        <color theme="0"/>
        <color rgb="FF00B0F0"/>
      </colorScale>
    </cfRule>
  </conditionalFormatting>
  <conditionalFormatting sqref="AT30">
    <cfRule type="expression" dxfId="5" priority="34">
      <formula>$AT$26=0</formula>
    </cfRule>
  </conditionalFormatting>
  <conditionalFormatting sqref="H30:AY30">
    <cfRule type="expression" dxfId="4" priority="5" stopIfTrue="1">
      <formula>$H$30&lt;0</formula>
    </cfRule>
  </conditionalFormatting>
  <conditionalFormatting sqref="A34:C63 E34:L63">
    <cfRule type="expression" dxfId="3" priority="1">
      <formula>IF($A34="",FALSE,ISERROR(MATCH(VLOOKUP($A34,INDIRECT("Creatures"),7,FALSE),INDIRECT("LegitimateSources[Legitimate Sources]"),0)))=TRUE</formula>
    </cfRule>
  </conditionalFormatting>
  <dataValidations count="2">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34:J63" xr:uid="{00000000-0002-0000-0500-000000000000}">
      <formula1>INDIRECT("Creatures[Block]")</formula1>
    </dataValidation>
    <dataValidation type="whole" operator="greaterThan" allowBlank="1" showInputMessage="1" showErrorMessage="1" errorTitle="Invalid Input" error="Please enter a whole number greater than 0." promptTitle="Note" prompt="Shaded creatures are creatures not included in the published D&amp;D books." sqref="K34:L63" xr:uid="{00000000-0002-0000-0500-000001000000}">
      <formula1>-1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09" r:id="rId4" name="Button 21">
              <controlPr defaultSize="0" print="0" autoFill="0" autoPict="0" macro="[0]!ClearEncounterX">
                <anchor moveWithCells="1" sizeWithCells="1">
                  <from>
                    <xdr:col>31</xdr:col>
                    <xdr:colOff>19050</xdr:colOff>
                    <xdr:row>31</xdr:row>
                    <xdr:rowOff>9525</xdr:rowOff>
                  </from>
                  <to>
                    <xdr:col>41</xdr:col>
                    <xdr:colOff>9525</xdr:colOff>
                    <xdr:row>31</xdr:row>
                    <xdr:rowOff>180975</xdr:rowOff>
                  </to>
                </anchor>
              </controlPr>
            </control>
          </mc:Choice>
        </mc:AlternateContent>
        <mc:AlternateContent xmlns:mc="http://schemas.openxmlformats.org/markup-compatibility/2006">
          <mc:Choice Requires="x14">
            <control shapeId="12310" r:id="rId5" name="Button 22">
              <controlPr defaultSize="0" print="0" autoFill="0" autoPict="0" macro="[0]!SaveEncounter">
                <anchor moveWithCells="1" sizeWithCells="1">
                  <from>
                    <xdr:col>41</xdr:col>
                    <xdr:colOff>9525</xdr:colOff>
                    <xdr:row>31</xdr:row>
                    <xdr:rowOff>9525</xdr:rowOff>
                  </from>
                  <to>
                    <xdr:col>51</xdr:col>
                    <xdr:colOff>0</xdr:colOff>
                    <xdr:row>31</xdr:row>
                    <xdr:rowOff>180975</xdr:rowOff>
                  </to>
                </anchor>
              </controlPr>
            </control>
          </mc:Choice>
        </mc:AlternateContent>
        <mc:AlternateContent xmlns:mc="http://schemas.openxmlformats.org/markup-compatibility/2006">
          <mc:Choice Requires="x14">
            <control shapeId="12311" r:id="rId6" name="Button 23">
              <controlPr defaultSize="0" print="0" autoFill="0" autoPict="0" macro="[0]!BrowseEncounters">
                <anchor moveWithCells="1" sizeWithCells="1">
                  <from>
                    <xdr:col>31</xdr:col>
                    <xdr:colOff>19050</xdr:colOff>
                    <xdr:row>33</xdr:row>
                    <xdr:rowOff>9525</xdr:rowOff>
                  </from>
                  <to>
                    <xdr:col>41</xdr:col>
                    <xdr:colOff>9525</xdr:colOff>
                    <xdr:row>33</xdr:row>
                    <xdr:rowOff>180975</xdr:rowOff>
                  </to>
                </anchor>
              </controlPr>
            </control>
          </mc:Choice>
        </mc:AlternateContent>
        <mc:AlternateContent xmlns:mc="http://schemas.openxmlformats.org/markup-compatibility/2006">
          <mc:Choice Requires="x14">
            <control shapeId="12312" r:id="rId7" name="Button 24">
              <controlPr defaultSize="0" print="0" autoFill="0" autoPict="0" macro="[0]!ReadyEncounter">
                <anchor moveWithCells="1" sizeWithCells="1">
                  <from>
                    <xdr:col>41</xdr:col>
                    <xdr:colOff>9525</xdr:colOff>
                    <xdr:row>33</xdr:row>
                    <xdr:rowOff>9525</xdr:rowOff>
                  </from>
                  <to>
                    <xdr:col>51</xdr:col>
                    <xdr:colOff>0</xdr:colOff>
                    <xdr:row>33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8696B"/>
  </sheetPr>
  <dimension ref="A1:BI2"/>
  <sheetViews>
    <sheetView showGridLines="0" showRowColHeaders="0" workbookViewId="0">
      <selection activeCell="L33" sqref="L33"/>
    </sheetView>
  </sheetViews>
  <sheetFormatPr defaultColWidth="9.140625" defaultRowHeight="15" x14ac:dyDescent="0.25"/>
  <cols>
    <col min="1" max="1" width="18.85546875" style="36" bestFit="1" customWidth="1"/>
    <col min="2" max="2" width="17.85546875" style="36" bestFit="1" customWidth="1"/>
    <col min="3" max="3" width="4.28515625" style="36" bestFit="1" customWidth="1"/>
    <col min="4" max="4" width="21.140625" style="36" bestFit="1" customWidth="1"/>
    <col min="5" max="5" width="5.28515625" style="36" bestFit="1" customWidth="1"/>
    <col min="6" max="6" width="12.42578125" style="36" bestFit="1" customWidth="1"/>
    <col min="7" max="7" width="5.28515625" style="36" bestFit="1" customWidth="1"/>
    <col min="8" max="8" width="12.42578125" style="36" bestFit="1" customWidth="1"/>
    <col min="9" max="9" width="5.28515625" style="36" bestFit="1" customWidth="1"/>
    <col min="10" max="10" width="12.42578125" style="36" bestFit="1" customWidth="1"/>
    <col min="11" max="11" width="5.28515625" style="36" bestFit="1" customWidth="1"/>
    <col min="12" max="12" width="12.42578125" style="36" bestFit="1" customWidth="1"/>
    <col min="13" max="13" width="5.28515625" style="36" bestFit="1" customWidth="1"/>
    <col min="14" max="14" width="12.42578125" style="36" bestFit="1" customWidth="1"/>
    <col min="15" max="15" width="5.28515625" style="36" bestFit="1" customWidth="1"/>
    <col min="16" max="16" width="12.42578125" style="36" bestFit="1" customWidth="1"/>
    <col min="17" max="17" width="5.28515625" style="36" bestFit="1" customWidth="1"/>
    <col min="18" max="18" width="12.42578125" style="36" bestFit="1" customWidth="1"/>
    <col min="19" max="19" width="5.28515625" style="36" bestFit="1" customWidth="1"/>
    <col min="20" max="20" width="13.42578125" style="36" bestFit="1" customWidth="1"/>
    <col min="21" max="21" width="6.28515625" style="36" bestFit="1" customWidth="1"/>
    <col min="22" max="22" width="13.42578125" style="36" bestFit="1" customWidth="1"/>
    <col min="23" max="23" width="6.28515625" style="36" bestFit="1" customWidth="1"/>
    <col min="24" max="24" width="13.42578125" style="36" bestFit="1" customWidth="1"/>
    <col min="25" max="25" width="6.28515625" style="36" bestFit="1" customWidth="1"/>
    <col min="26" max="26" width="13.42578125" style="36" bestFit="1" customWidth="1"/>
    <col min="27" max="27" width="6.28515625" style="36" bestFit="1" customWidth="1"/>
    <col min="28" max="28" width="13.42578125" style="36" bestFit="1" customWidth="1"/>
    <col min="29" max="29" width="6.28515625" style="36" bestFit="1" customWidth="1"/>
    <col min="30" max="30" width="13.42578125" style="36" bestFit="1" customWidth="1"/>
    <col min="31" max="31" width="6.28515625" style="36" bestFit="1" customWidth="1"/>
    <col min="32" max="32" width="13.42578125" style="36" bestFit="1" customWidth="1"/>
    <col min="33" max="33" width="6.28515625" style="36" bestFit="1" customWidth="1"/>
    <col min="34" max="34" width="13.42578125" style="36" bestFit="1" customWidth="1"/>
    <col min="35" max="35" width="6.28515625" style="36" bestFit="1" customWidth="1"/>
    <col min="36" max="36" width="13.42578125" style="36" bestFit="1" customWidth="1"/>
    <col min="37" max="37" width="6.28515625" style="36" bestFit="1" customWidth="1"/>
    <col min="38" max="38" width="13.42578125" style="36" bestFit="1" customWidth="1"/>
    <col min="39" max="39" width="6.28515625" style="36" bestFit="1" customWidth="1"/>
    <col min="40" max="40" width="13.42578125" style="36" bestFit="1" customWidth="1"/>
    <col min="41" max="41" width="6.28515625" style="36" bestFit="1" customWidth="1"/>
    <col min="42" max="42" width="13.42578125" style="36" bestFit="1" customWidth="1"/>
    <col min="43" max="43" width="6.28515625" style="36" bestFit="1" customWidth="1"/>
    <col min="44" max="44" width="13.42578125" style="36" bestFit="1" customWidth="1"/>
    <col min="45" max="45" width="6.28515625" style="36" bestFit="1" customWidth="1"/>
    <col min="46" max="46" width="13.42578125" style="36" bestFit="1" customWidth="1"/>
    <col min="47" max="47" width="6.28515625" style="36" bestFit="1" customWidth="1"/>
    <col min="48" max="48" width="13.42578125" style="36" bestFit="1" customWidth="1"/>
    <col min="49" max="49" width="6.28515625" style="36" bestFit="1" customWidth="1"/>
    <col min="50" max="50" width="13.42578125" style="36" bestFit="1" customWidth="1"/>
    <col min="51" max="51" width="6.28515625" style="36" bestFit="1" customWidth="1"/>
    <col min="52" max="52" width="13.42578125" style="36" bestFit="1" customWidth="1"/>
    <col min="53" max="53" width="6.28515625" style="36" bestFit="1" customWidth="1"/>
    <col min="54" max="54" width="13.42578125" style="36" bestFit="1" customWidth="1"/>
    <col min="55" max="55" width="6.28515625" style="36" bestFit="1" customWidth="1"/>
    <col min="56" max="56" width="13.42578125" style="36" bestFit="1" customWidth="1"/>
    <col min="57" max="57" width="6.28515625" style="36" bestFit="1" customWidth="1"/>
    <col min="58" max="58" width="13.42578125" style="36" bestFit="1" customWidth="1"/>
    <col min="59" max="59" width="6.28515625" style="36" bestFit="1" customWidth="1"/>
    <col min="60" max="60" width="13.42578125" style="36" bestFit="1" customWidth="1"/>
    <col min="61" max="61" width="6.28515625" style="36" bestFit="1" customWidth="1"/>
    <col min="62" max="16384" width="9.140625" style="36"/>
  </cols>
  <sheetData>
    <row r="1" spans="1:61" x14ac:dyDescent="0.25">
      <c r="A1" t="s">
        <v>392</v>
      </c>
      <c r="B1" t="s">
        <v>393</v>
      </c>
      <c r="C1" t="s">
        <v>366</v>
      </c>
      <c r="D1" t="s">
        <v>394</v>
      </c>
      <c r="E1" t="s">
        <v>395</v>
      </c>
      <c r="F1" t="s">
        <v>396</v>
      </c>
      <c r="G1" t="s">
        <v>397</v>
      </c>
      <c r="H1" t="s">
        <v>398</v>
      </c>
      <c r="I1" t="s">
        <v>399</v>
      </c>
      <c r="J1" t="s">
        <v>400</v>
      </c>
      <c r="K1" t="s">
        <v>401</v>
      </c>
      <c r="L1" t="s">
        <v>402</v>
      </c>
      <c r="M1" t="s">
        <v>403</v>
      </c>
      <c r="N1" t="s">
        <v>404</v>
      </c>
      <c r="O1" t="s">
        <v>405</v>
      </c>
      <c r="P1" t="s">
        <v>406</v>
      </c>
      <c r="Q1" t="s">
        <v>407</v>
      </c>
      <c r="R1" t="s">
        <v>408</v>
      </c>
      <c r="S1" t="s">
        <v>409</v>
      </c>
      <c r="T1" t="s">
        <v>410</v>
      </c>
      <c r="U1" t="s">
        <v>411</v>
      </c>
      <c r="V1" t="s">
        <v>412</v>
      </c>
      <c r="W1" t="s">
        <v>413</v>
      </c>
      <c r="X1" t="s">
        <v>414</v>
      </c>
      <c r="Y1" t="s">
        <v>415</v>
      </c>
      <c r="Z1" t="s">
        <v>416</v>
      </c>
      <c r="AA1" t="s">
        <v>417</v>
      </c>
      <c r="AB1" t="s">
        <v>418</v>
      </c>
      <c r="AC1" t="s">
        <v>419</v>
      </c>
      <c r="AD1" t="s">
        <v>420</v>
      </c>
      <c r="AE1" t="s">
        <v>421</v>
      </c>
      <c r="AF1" t="s">
        <v>422</v>
      </c>
      <c r="AG1" t="s">
        <v>423</v>
      </c>
      <c r="AH1" t="s">
        <v>424</v>
      </c>
      <c r="AI1" t="s">
        <v>425</v>
      </c>
      <c r="AJ1" t="s">
        <v>426</v>
      </c>
      <c r="AK1" t="s">
        <v>427</v>
      </c>
      <c r="AL1" t="s">
        <v>428</v>
      </c>
      <c r="AM1" t="s">
        <v>429</v>
      </c>
      <c r="AN1" t="s">
        <v>430</v>
      </c>
      <c r="AO1" t="s">
        <v>431</v>
      </c>
      <c r="AP1" t="s">
        <v>432</v>
      </c>
      <c r="AQ1" t="s">
        <v>433</v>
      </c>
      <c r="AR1" t="s">
        <v>434</v>
      </c>
      <c r="AS1" t="s">
        <v>435</v>
      </c>
      <c r="AT1" t="s">
        <v>436</v>
      </c>
      <c r="AU1" t="s">
        <v>437</v>
      </c>
      <c r="AV1" t="s">
        <v>438</v>
      </c>
      <c r="AW1" t="s">
        <v>439</v>
      </c>
      <c r="AX1" t="s">
        <v>440</v>
      </c>
      <c r="AY1" t="s">
        <v>441</v>
      </c>
      <c r="AZ1" t="s">
        <v>442</v>
      </c>
      <c r="BA1" t="s">
        <v>443</v>
      </c>
      <c r="BB1" t="s">
        <v>444</v>
      </c>
      <c r="BC1" t="s">
        <v>445</v>
      </c>
      <c r="BD1" t="s">
        <v>446</v>
      </c>
      <c r="BE1" t="s">
        <v>447</v>
      </c>
      <c r="BF1" t="s">
        <v>448</v>
      </c>
      <c r="BG1" t="s">
        <v>449</v>
      </c>
      <c r="BH1" t="s">
        <v>450</v>
      </c>
      <c r="BI1" t="s">
        <v>451</v>
      </c>
    </row>
    <row r="2" spans="1:61" x14ac:dyDescent="0.25">
      <c r="A2" t="s">
        <v>452</v>
      </c>
      <c r="B2" t="s">
        <v>385</v>
      </c>
      <c r="C2">
        <v>4</v>
      </c>
      <c r="D2" t="s">
        <v>386</v>
      </c>
      <c r="E2">
        <v>2</v>
      </c>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8696B"/>
  </sheetPr>
  <dimension ref="A1:C6"/>
  <sheetViews>
    <sheetView workbookViewId="0">
      <selection activeCell="O37" sqref="O37:O38"/>
    </sheetView>
  </sheetViews>
  <sheetFormatPr defaultColWidth="9.140625" defaultRowHeight="15" x14ac:dyDescent="0.25"/>
  <cols>
    <col min="1" max="1" width="25" style="80" bestFit="1" customWidth="1"/>
    <col min="2" max="2" width="9.85546875" style="80" bestFit="1" customWidth="1"/>
    <col min="3" max="3" width="11.7109375" style="80" bestFit="1" customWidth="1"/>
    <col min="4" max="16384" width="9.140625" style="80"/>
  </cols>
  <sheetData>
    <row r="1" spans="1:3" s="83" customFormat="1" ht="15.75" thickBot="1" x14ac:dyDescent="0.3"/>
    <row r="2" spans="1:3" ht="15.75" thickTop="1" x14ac:dyDescent="0.25">
      <c r="A2" s="333" t="s">
        <v>823</v>
      </c>
      <c r="B2" s="333"/>
      <c r="C2" s="333"/>
    </row>
    <row r="3" spans="1:3" x14ac:dyDescent="0.25">
      <c r="A3" s="80" t="s">
        <v>453</v>
      </c>
      <c r="B3" s="80" t="s">
        <v>153</v>
      </c>
      <c r="C3" s="80" t="s">
        <v>454</v>
      </c>
    </row>
    <row r="4" spans="1:3" x14ac:dyDescent="0.25">
      <c r="A4" s="80" t="s">
        <v>455</v>
      </c>
      <c r="B4" s="80">
        <v>10</v>
      </c>
      <c r="C4" s="81">
        <f>IFERROR(LootTable1[[#This Row],[Weight]]/SUM(LootTable1[Weight]),"-")</f>
        <v>0.66666666666666663</v>
      </c>
    </row>
    <row r="5" spans="1:3" x14ac:dyDescent="0.25">
      <c r="A5" s="80" t="s">
        <v>471</v>
      </c>
      <c r="B5" s="80">
        <v>5</v>
      </c>
      <c r="C5" s="81">
        <f>IFERROR(LootTable1[[#This Row],[Weight]]/SUM(LootTable1[Weight]),"-")</f>
        <v>0.33333333333333331</v>
      </c>
    </row>
    <row r="6" spans="1:3" ht="15" customHeight="1" x14ac:dyDescent="0.25"/>
  </sheetData>
  <mergeCells count="1">
    <mergeCell ref="A2:C2"/>
  </mergeCells>
  <dataValidations xWindow="610" yWindow="172" count="4">
    <dataValidation type="list" allowBlank="1" showInputMessage="1" promptTitle="Note:" prompt="Any value can be entered into this cell, it does not have to be listed." sqref="A4:A5" xr:uid="{00000000-0002-0000-0700-000000000000}">
      <formula1>INDIRECT("Items[Name]")</formula1>
    </dataValidation>
    <dataValidation type="decimal" allowBlank="1" showInputMessage="1" showErrorMessage="1" errorTitle="Error" error="Please enter a whole number between 0 and 1000" promptTitle="Note" prompt="Weight effects how likely an item is to be picked in comparison to the other listed items when randomly choosing a value from the table. Please enter a value between 0 and 1000" sqref="B4:B5" xr:uid="{00000000-0002-0000-0700-000001000000}">
      <formula1>0</formula1>
      <formula2>1000</formula2>
    </dataValidation>
    <dataValidation allowBlank="1" showInputMessage="1" errorTitle="Error" error="Please enter a whole number between 0 and 1000" promptTitle="Note" prompt="Do not change the formula in this cell. This will cause errors when calculating percent chance." sqref="C4:C5" xr:uid="{00000000-0002-0000-0700-000002000000}"/>
    <dataValidation allowBlank="1" showInputMessage="1" showErrorMessage="1" promptTitle="Loot Table Tips" prompt="The header above the loot table can be changed to change the display name of the loot table in the generator._x000a__x000a_To add more lines to the table right click on an entry, go to insert, and click on the &quot;Table Rows Below/Above&quot; option!" sqref="A2:C2" xr:uid="{00000000-0002-0000-0700-000003000000}"/>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AddLootTable">
                <anchor moveWithCells="1" sizeWithCells="1">
                  <from>
                    <xdr:col>0</xdr:col>
                    <xdr:colOff>9525</xdr:colOff>
                    <xdr:row>0</xdr:row>
                    <xdr:rowOff>9525</xdr:rowOff>
                  </from>
                  <to>
                    <xdr:col>3</xdr:col>
                    <xdr:colOff>0</xdr:colOff>
                    <xdr:row>0</xdr:row>
                    <xdr:rowOff>180975</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tabColor rgb="FFC9C9C9"/>
  </sheetPr>
  <dimension ref="A1:I5"/>
  <sheetViews>
    <sheetView showGridLines="0" showRowColHeaders="0" workbookViewId="0">
      <pane ySplit="1" topLeftCell="A2" activePane="bottomLeft" state="frozen"/>
      <selection pane="bottomLeft" activeCell="G43" sqref="G43"/>
    </sheetView>
  </sheetViews>
  <sheetFormatPr defaultColWidth="9.140625" defaultRowHeight="15" x14ac:dyDescent="0.25"/>
  <cols>
    <col min="1" max="1" width="26.42578125" style="36" bestFit="1" customWidth="1"/>
    <col min="2" max="2" width="34.5703125" style="36" bestFit="1" customWidth="1"/>
    <col min="3" max="3" width="21" style="36" bestFit="1" customWidth="1"/>
    <col min="4" max="4" width="16" style="36" bestFit="1" customWidth="1"/>
    <col min="5" max="5" width="5.5703125" style="36" bestFit="1" customWidth="1"/>
    <col min="6" max="6" width="7" style="36" bestFit="1" customWidth="1"/>
    <col min="7" max="7" width="34.28515625" style="36" customWidth="1"/>
    <col min="8" max="9" width="19.85546875" style="36" bestFit="1" customWidth="1"/>
    <col min="10" max="16384" width="9.140625" style="36"/>
  </cols>
  <sheetData>
    <row r="1" spans="1:9" ht="15.75" customHeight="1" x14ac:dyDescent="0.25">
      <c r="A1" s="1" t="s">
        <v>575</v>
      </c>
      <c r="B1" s="1" t="s">
        <v>150</v>
      </c>
      <c r="C1" s="1" t="s">
        <v>360</v>
      </c>
      <c r="D1" s="1" t="s">
        <v>576</v>
      </c>
      <c r="E1" s="2" t="s">
        <v>22</v>
      </c>
      <c r="F1" s="1" t="s">
        <v>23</v>
      </c>
      <c r="G1" s="1" t="s">
        <v>371</v>
      </c>
      <c r="H1" s="1" t="s">
        <v>577</v>
      </c>
      <c r="I1" s="1" t="s">
        <v>355</v>
      </c>
    </row>
    <row r="2" spans="1:9" x14ac:dyDescent="0.25">
      <c r="A2" s="3" t="s">
        <v>826</v>
      </c>
      <c r="B2" s="1" t="s">
        <v>578</v>
      </c>
      <c r="C2" s="1">
        <v>12</v>
      </c>
      <c r="D2" s="1" t="s">
        <v>579</v>
      </c>
      <c r="E2" s="4" t="s">
        <v>25</v>
      </c>
      <c r="F2" s="1">
        <f>IF(Creatures[[#This Row],[CR]]="","",VLOOKUP(Creatures[[#This Row],[CR]],CREXP[#All],2,FALSE))</f>
        <v>50</v>
      </c>
      <c r="G2" s="1" t="s">
        <v>101</v>
      </c>
      <c r="H2" s="1">
        <v>14</v>
      </c>
      <c r="I2" s="1">
        <f>IFERROR(DexModifier(Creatures[[#This Row],[Dex Score]]),NA())</f>
        <v>2</v>
      </c>
    </row>
    <row r="3" spans="1:9" x14ac:dyDescent="0.25">
      <c r="A3" s="3" t="s">
        <v>827</v>
      </c>
      <c r="B3" s="1" t="s">
        <v>580</v>
      </c>
      <c r="C3" s="1">
        <v>17</v>
      </c>
      <c r="D3" s="1" t="s">
        <v>581</v>
      </c>
      <c r="E3" s="2">
        <v>10</v>
      </c>
      <c r="F3" s="1">
        <v>5900</v>
      </c>
      <c r="G3" s="1" t="s">
        <v>101</v>
      </c>
      <c r="H3" s="1">
        <v>9</v>
      </c>
      <c r="I3" s="1">
        <f>IFERROR(DexModifier(Creatures[[#This Row],[Dex Score]]),NA())</f>
        <v>-1</v>
      </c>
    </row>
    <row r="4" spans="1:9" x14ac:dyDescent="0.25">
      <c r="A4" s="3" t="s">
        <v>828</v>
      </c>
      <c r="B4" s="1" t="s">
        <v>582</v>
      </c>
      <c r="C4" s="1">
        <v>15</v>
      </c>
      <c r="D4" s="1" t="s">
        <v>583</v>
      </c>
      <c r="E4" s="2">
        <v>9</v>
      </c>
      <c r="F4" s="1">
        <f>IF(Creatures[[#This Row],[CR]]="","",VLOOKUP(Creatures[[#This Row],[CR]],CREXP[#All],2,FALSE))</f>
        <v>5000</v>
      </c>
      <c r="G4" s="1" t="s">
        <v>101</v>
      </c>
      <c r="H4" s="1">
        <v>10</v>
      </c>
      <c r="I4" s="1">
        <f>IFERROR(DexModifier(Creatures[[#This Row],[Dex Score]]),NA())</f>
        <v>0</v>
      </c>
    </row>
    <row r="5" spans="1:9" x14ac:dyDescent="0.25">
      <c r="A5" s="3" t="s">
        <v>824</v>
      </c>
      <c r="B5" s="1" t="s">
        <v>578</v>
      </c>
      <c r="C5" s="1">
        <v>13</v>
      </c>
      <c r="D5" s="1" t="s">
        <v>825</v>
      </c>
      <c r="E5" s="2">
        <v>2</v>
      </c>
      <c r="F5" s="1">
        <f>IF(Creatures[[#This Row],[CR]]="","",VLOOKUP(Creatures[[#This Row],[CR]],CREXP[#All],2,FALSE))</f>
        <v>450</v>
      </c>
      <c r="G5" s="1" t="s">
        <v>823</v>
      </c>
      <c r="H5" s="334">
        <v>15</v>
      </c>
      <c r="I5" s="334">
        <v>2</v>
      </c>
    </row>
  </sheetData>
  <phoneticPr fontId="24" type="noConversion"/>
  <conditionalFormatting sqref="A2:I5 A7:I29067 B6:I6">
    <cfRule type="expression" dxfId="2" priority="1">
      <formula>IF($G2="",FALSE,ISERROR(MATCH($G2,INDIRECT("LegitimateSources[Legitimate Sources]"),0)))=TRUE</formula>
    </cfRule>
  </conditionalFormatting>
  <conditionalFormatting sqref="K1">
    <cfRule type="expression" dxfId="1" priority="504">
      <formula>IF($G6="",FALSE,ISERROR(MATCH($G6,INDIRECT("LegitimateSources[Legitimate Sources]"),0)))=TRUE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ddCreatureX">
                <anchor moveWithCells="1" sizeWithCells="1">
                  <from>
                    <xdr:col>0</xdr:col>
                    <xdr:colOff>647700</xdr:colOff>
                    <xdr:row>0</xdr:row>
                    <xdr:rowOff>0</xdr:rowOff>
                  </from>
                  <to>
                    <xdr:col>0</xdr:col>
                    <xdr:colOff>1581150</xdr:colOff>
                    <xdr:row>0</xdr:row>
                    <xdr:rowOff>180975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C9C9C9"/>
  </sheetPr>
  <dimension ref="A1:F153"/>
  <sheetViews>
    <sheetView showGridLines="0" showRowColHeaders="0" workbookViewId="0">
      <selection activeCell="I31" sqref="I31"/>
    </sheetView>
  </sheetViews>
  <sheetFormatPr defaultColWidth="9.140625" defaultRowHeight="15" x14ac:dyDescent="0.25"/>
  <cols>
    <col min="1" max="1" width="25" style="36" bestFit="1" customWidth="1"/>
    <col min="2" max="2" width="8.42578125" style="36" bestFit="1" customWidth="1"/>
    <col min="3" max="3" width="13.7109375" style="36" bestFit="1" customWidth="1"/>
    <col min="4" max="4" width="9.85546875" style="36" bestFit="1" customWidth="1"/>
    <col min="5" max="5" width="28.85546875" style="36" customWidth="1"/>
    <col min="6" max="6" width="16.7109375" style="36" bestFit="1" customWidth="1"/>
    <col min="7" max="16384" width="9.140625" style="36"/>
  </cols>
  <sheetData>
    <row r="1" spans="1:6" x14ac:dyDescent="0.25">
      <c r="A1" t="s">
        <v>48</v>
      </c>
      <c r="B1" t="s">
        <v>152</v>
      </c>
      <c r="C1" t="s">
        <v>584</v>
      </c>
      <c r="D1" t="s">
        <v>153</v>
      </c>
      <c r="E1" t="s">
        <v>154</v>
      </c>
      <c r="F1" t="s">
        <v>155</v>
      </c>
    </row>
    <row r="2" spans="1:6" x14ac:dyDescent="0.25">
      <c r="A2" s="6" t="s">
        <v>455</v>
      </c>
      <c r="B2" s="6" t="s">
        <v>585</v>
      </c>
      <c r="C2" s="6"/>
      <c r="D2" s="6" t="s">
        <v>586</v>
      </c>
      <c r="E2" s="6"/>
      <c r="F2" s="6" t="s">
        <v>587</v>
      </c>
    </row>
    <row r="3" spans="1:6" x14ac:dyDescent="0.25">
      <c r="A3" s="6" t="s">
        <v>458</v>
      </c>
      <c r="B3" s="6" t="s">
        <v>588</v>
      </c>
      <c r="C3" s="6"/>
      <c r="D3" s="6" t="s">
        <v>589</v>
      </c>
      <c r="E3" s="6"/>
      <c r="F3" s="6" t="s">
        <v>587</v>
      </c>
    </row>
    <row r="4" spans="1:6" x14ac:dyDescent="0.25">
      <c r="A4" s="6" t="s">
        <v>460</v>
      </c>
      <c r="B4" s="6" t="s">
        <v>197</v>
      </c>
      <c r="C4" s="6"/>
      <c r="D4" s="6" t="s">
        <v>589</v>
      </c>
      <c r="E4" s="6"/>
      <c r="F4" s="6" t="s">
        <v>587</v>
      </c>
    </row>
    <row r="5" spans="1:6" x14ac:dyDescent="0.25">
      <c r="A5" s="6" t="s">
        <v>464</v>
      </c>
      <c r="B5" s="6" t="s">
        <v>197</v>
      </c>
      <c r="C5" s="6"/>
      <c r="D5" s="6" t="s">
        <v>374</v>
      </c>
      <c r="E5" s="6"/>
      <c r="F5" s="6" t="s">
        <v>587</v>
      </c>
    </row>
    <row r="6" spans="1:6" x14ac:dyDescent="0.25">
      <c r="A6" s="6" t="s">
        <v>466</v>
      </c>
      <c r="B6" s="6" t="s">
        <v>585</v>
      </c>
      <c r="C6" s="6"/>
      <c r="D6" s="6" t="s">
        <v>590</v>
      </c>
      <c r="E6" s="6"/>
      <c r="F6" s="6" t="s">
        <v>587</v>
      </c>
    </row>
    <row r="7" spans="1:6" x14ac:dyDescent="0.25">
      <c r="A7" s="6" t="s">
        <v>468</v>
      </c>
      <c r="B7" s="6" t="s">
        <v>591</v>
      </c>
      <c r="C7" s="6"/>
      <c r="D7" s="6" t="s">
        <v>586</v>
      </c>
      <c r="E7" s="6"/>
      <c r="F7" s="6" t="s">
        <v>587</v>
      </c>
    </row>
    <row r="8" spans="1:6" x14ac:dyDescent="0.25">
      <c r="A8" s="6" t="s">
        <v>471</v>
      </c>
      <c r="B8" s="6" t="s">
        <v>585</v>
      </c>
      <c r="C8" s="6"/>
      <c r="D8" s="6" t="s">
        <v>592</v>
      </c>
      <c r="E8" s="6"/>
      <c r="F8" s="6" t="s">
        <v>587</v>
      </c>
    </row>
    <row r="9" spans="1:6" x14ac:dyDescent="0.25">
      <c r="A9" s="6" t="s">
        <v>474</v>
      </c>
      <c r="B9" s="6" t="s">
        <v>593</v>
      </c>
      <c r="C9" s="6"/>
      <c r="D9" s="6" t="s">
        <v>586</v>
      </c>
      <c r="E9" s="6"/>
      <c r="F9" s="6" t="s">
        <v>587</v>
      </c>
    </row>
    <row r="10" spans="1:6" x14ac:dyDescent="0.25">
      <c r="A10" s="6" t="s">
        <v>477</v>
      </c>
      <c r="B10" s="6" t="s">
        <v>591</v>
      </c>
      <c r="C10" s="6"/>
      <c r="D10" s="6" t="s">
        <v>594</v>
      </c>
      <c r="E10" s="6"/>
      <c r="F10" s="6" t="s">
        <v>587</v>
      </c>
    </row>
    <row r="11" spans="1:6" x14ac:dyDescent="0.25">
      <c r="A11" s="6" t="s">
        <v>470</v>
      </c>
      <c r="B11" s="6" t="s">
        <v>591</v>
      </c>
      <c r="C11" s="6"/>
      <c r="D11" s="6"/>
      <c r="E11" s="6"/>
      <c r="F11" s="6" t="s">
        <v>587</v>
      </c>
    </row>
    <row r="12" spans="1:6" x14ac:dyDescent="0.25">
      <c r="A12" s="6" t="s">
        <v>482</v>
      </c>
      <c r="B12" s="6" t="s">
        <v>595</v>
      </c>
      <c r="C12" s="6"/>
      <c r="D12" s="6" t="s">
        <v>596</v>
      </c>
      <c r="E12" s="6"/>
      <c r="F12" s="6" t="s">
        <v>587</v>
      </c>
    </row>
    <row r="13" spans="1:6" x14ac:dyDescent="0.25">
      <c r="A13" s="6" t="s">
        <v>473</v>
      </c>
      <c r="B13" s="6" t="s">
        <v>591</v>
      </c>
      <c r="C13" s="6"/>
      <c r="D13" s="6" t="s">
        <v>590</v>
      </c>
      <c r="E13" s="6"/>
      <c r="F13" s="6" t="s">
        <v>587</v>
      </c>
    </row>
    <row r="14" spans="1:6" x14ac:dyDescent="0.25">
      <c r="A14" s="6" t="s">
        <v>476</v>
      </c>
      <c r="B14" s="6" t="s">
        <v>588</v>
      </c>
      <c r="C14" s="6"/>
      <c r="D14" s="6" t="s">
        <v>590</v>
      </c>
      <c r="E14" s="6"/>
      <c r="F14" s="6" t="s">
        <v>587</v>
      </c>
    </row>
    <row r="15" spans="1:6" x14ac:dyDescent="0.25">
      <c r="A15" s="6" t="s">
        <v>479</v>
      </c>
      <c r="B15" s="6" t="s">
        <v>585</v>
      </c>
      <c r="C15" s="6"/>
      <c r="D15" s="6" t="s">
        <v>586</v>
      </c>
      <c r="E15" s="6"/>
      <c r="F15" s="6" t="s">
        <v>587</v>
      </c>
    </row>
    <row r="16" spans="1:6" x14ac:dyDescent="0.25">
      <c r="A16" s="6" t="s">
        <v>492</v>
      </c>
      <c r="B16" s="6" t="s">
        <v>595</v>
      </c>
      <c r="C16" s="6"/>
      <c r="D16" s="6" t="s">
        <v>586</v>
      </c>
      <c r="E16" s="6"/>
      <c r="F16" s="6" t="s">
        <v>587</v>
      </c>
    </row>
    <row r="17" spans="1:6" x14ac:dyDescent="0.25">
      <c r="A17" s="6" t="s">
        <v>481</v>
      </c>
      <c r="B17" s="6" t="s">
        <v>591</v>
      </c>
      <c r="C17" s="6"/>
      <c r="D17" s="6" t="s">
        <v>586</v>
      </c>
      <c r="E17" s="6"/>
      <c r="F17" s="6" t="s">
        <v>587</v>
      </c>
    </row>
    <row r="18" spans="1:6" x14ac:dyDescent="0.25">
      <c r="A18" s="6" t="s">
        <v>484</v>
      </c>
      <c r="B18" s="6" t="s">
        <v>597</v>
      </c>
      <c r="C18" s="6"/>
      <c r="D18" s="6" t="s">
        <v>374</v>
      </c>
      <c r="E18" s="6"/>
      <c r="F18" s="6" t="s">
        <v>587</v>
      </c>
    </row>
    <row r="19" spans="1:6" x14ac:dyDescent="0.25">
      <c r="A19" s="6" t="s">
        <v>499</v>
      </c>
      <c r="B19" s="6" t="s">
        <v>591</v>
      </c>
      <c r="C19" s="6"/>
      <c r="D19" s="6" t="s">
        <v>589</v>
      </c>
      <c r="E19" s="6"/>
      <c r="F19" s="6" t="s">
        <v>587</v>
      </c>
    </row>
    <row r="20" spans="1:6" x14ac:dyDescent="0.25">
      <c r="A20" s="6" t="s">
        <v>487</v>
      </c>
      <c r="B20" s="6" t="s">
        <v>591</v>
      </c>
      <c r="C20" s="6"/>
      <c r="D20" s="6" t="s">
        <v>589</v>
      </c>
      <c r="E20" s="6"/>
      <c r="F20" s="6" t="s">
        <v>587</v>
      </c>
    </row>
    <row r="21" spans="1:6" x14ac:dyDescent="0.25">
      <c r="A21" s="6" t="s">
        <v>504</v>
      </c>
      <c r="B21" s="6" t="s">
        <v>162</v>
      </c>
      <c r="C21" s="6"/>
      <c r="D21" s="6" t="s">
        <v>598</v>
      </c>
      <c r="E21" s="6"/>
      <c r="F21" s="6" t="s">
        <v>587</v>
      </c>
    </row>
    <row r="22" spans="1:6" x14ac:dyDescent="0.25">
      <c r="A22" s="6" t="s">
        <v>489</v>
      </c>
      <c r="B22" s="6" t="s">
        <v>597</v>
      </c>
      <c r="C22" s="6"/>
      <c r="D22" s="6" t="s">
        <v>374</v>
      </c>
      <c r="E22" s="6"/>
      <c r="F22" s="6" t="s">
        <v>587</v>
      </c>
    </row>
    <row r="23" spans="1:6" x14ac:dyDescent="0.25">
      <c r="A23" s="6" t="s">
        <v>509</v>
      </c>
      <c r="B23" s="6" t="s">
        <v>162</v>
      </c>
      <c r="C23" s="6"/>
      <c r="D23" s="6" t="s">
        <v>599</v>
      </c>
      <c r="E23" s="6"/>
      <c r="F23" s="6" t="s">
        <v>587</v>
      </c>
    </row>
    <row r="24" spans="1:6" x14ac:dyDescent="0.25">
      <c r="A24" s="6" t="s">
        <v>491</v>
      </c>
      <c r="B24" s="6" t="s">
        <v>588</v>
      </c>
      <c r="C24" s="6"/>
      <c r="D24" s="6" t="s">
        <v>600</v>
      </c>
      <c r="E24" s="6"/>
      <c r="F24" s="6" t="s">
        <v>587</v>
      </c>
    </row>
    <row r="25" spans="1:6" x14ac:dyDescent="0.25">
      <c r="A25" s="6" t="s">
        <v>601</v>
      </c>
      <c r="B25" s="6" t="s">
        <v>602</v>
      </c>
      <c r="C25" s="6"/>
      <c r="D25" s="6" t="s">
        <v>596</v>
      </c>
      <c r="E25" s="6"/>
      <c r="F25" s="6" t="s">
        <v>587</v>
      </c>
    </row>
    <row r="26" spans="1:6" x14ac:dyDescent="0.25">
      <c r="A26" s="6" t="s">
        <v>603</v>
      </c>
      <c r="B26" s="6" t="s">
        <v>162</v>
      </c>
      <c r="C26" s="6"/>
      <c r="D26" s="6" t="s">
        <v>604</v>
      </c>
      <c r="E26" s="6"/>
      <c r="F26" s="6" t="s">
        <v>587</v>
      </c>
    </row>
    <row r="27" spans="1:6" x14ac:dyDescent="0.25">
      <c r="A27" s="6" t="s">
        <v>605</v>
      </c>
      <c r="B27" s="6" t="s">
        <v>606</v>
      </c>
      <c r="C27" s="6"/>
      <c r="D27" s="6" t="s">
        <v>607</v>
      </c>
      <c r="E27" s="6"/>
      <c r="F27" s="6" t="s">
        <v>587</v>
      </c>
    </row>
    <row r="28" spans="1:6" x14ac:dyDescent="0.25">
      <c r="A28" s="6" t="s">
        <v>608</v>
      </c>
      <c r="B28" s="6" t="s">
        <v>585</v>
      </c>
      <c r="C28" s="6"/>
      <c r="D28" s="6" t="s">
        <v>604</v>
      </c>
      <c r="E28" s="6"/>
      <c r="F28" s="6" t="s">
        <v>587</v>
      </c>
    </row>
    <row r="29" spans="1:6" x14ac:dyDescent="0.25">
      <c r="A29" s="6" t="s">
        <v>514</v>
      </c>
      <c r="B29" s="6" t="s">
        <v>588</v>
      </c>
      <c r="C29" s="6"/>
      <c r="D29" s="6" t="s">
        <v>586</v>
      </c>
      <c r="E29" s="6"/>
      <c r="F29" s="6" t="s">
        <v>587</v>
      </c>
    </row>
    <row r="30" spans="1:6" x14ac:dyDescent="0.25">
      <c r="A30" s="6" t="s">
        <v>494</v>
      </c>
      <c r="B30" s="6" t="s">
        <v>585</v>
      </c>
      <c r="C30" s="6"/>
      <c r="D30" s="6" t="s">
        <v>590</v>
      </c>
      <c r="E30" s="6"/>
      <c r="F30" s="6" t="s">
        <v>587</v>
      </c>
    </row>
    <row r="31" spans="1:6" x14ac:dyDescent="0.25">
      <c r="A31" s="6" t="s">
        <v>498</v>
      </c>
      <c r="B31" s="6" t="s">
        <v>591</v>
      </c>
      <c r="C31" s="6"/>
      <c r="D31" s="6" t="s">
        <v>604</v>
      </c>
      <c r="E31" s="6"/>
      <c r="F31" s="6" t="s">
        <v>587</v>
      </c>
    </row>
    <row r="32" spans="1:6" x14ac:dyDescent="0.25">
      <c r="A32" s="6" t="s">
        <v>501</v>
      </c>
      <c r="B32" s="6" t="s">
        <v>609</v>
      </c>
      <c r="C32" s="6"/>
      <c r="D32" s="6" t="s">
        <v>589</v>
      </c>
      <c r="E32" s="6"/>
      <c r="F32" s="6" t="s">
        <v>587</v>
      </c>
    </row>
    <row r="33" spans="1:6" ht="135" x14ac:dyDescent="0.25">
      <c r="A33" s="6" t="s">
        <v>525</v>
      </c>
      <c r="B33" s="6" t="s">
        <v>610</v>
      </c>
      <c r="C33" s="6" t="s">
        <v>611</v>
      </c>
      <c r="D33" s="6" t="s">
        <v>612</v>
      </c>
      <c r="E33" s="6"/>
      <c r="F33" s="6" t="s">
        <v>587</v>
      </c>
    </row>
    <row r="34" spans="1:6" x14ac:dyDescent="0.25">
      <c r="A34" s="6" t="s">
        <v>503</v>
      </c>
      <c r="B34" s="6" t="s">
        <v>585</v>
      </c>
      <c r="C34" s="6"/>
      <c r="D34" s="6" t="s">
        <v>604</v>
      </c>
      <c r="E34" s="6"/>
      <c r="F34" s="6" t="s">
        <v>587</v>
      </c>
    </row>
    <row r="35" spans="1:6" x14ac:dyDescent="0.25">
      <c r="A35" s="6" t="s">
        <v>506</v>
      </c>
      <c r="B35" s="6" t="s">
        <v>591</v>
      </c>
      <c r="C35" s="6"/>
      <c r="D35" s="6" t="s">
        <v>596</v>
      </c>
      <c r="E35" s="6"/>
      <c r="F35" s="6" t="s">
        <v>587</v>
      </c>
    </row>
    <row r="36" spans="1:6" x14ac:dyDescent="0.25">
      <c r="A36" s="6" t="s">
        <v>508</v>
      </c>
      <c r="B36" s="6" t="s">
        <v>585</v>
      </c>
      <c r="C36" s="6"/>
      <c r="D36" s="6" t="s">
        <v>598</v>
      </c>
      <c r="E36" s="6"/>
      <c r="F36" s="6" t="s">
        <v>587</v>
      </c>
    </row>
    <row r="37" spans="1:6" x14ac:dyDescent="0.25">
      <c r="A37" s="6" t="s">
        <v>511</v>
      </c>
      <c r="B37" s="6" t="s">
        <v>162</v>
      </c>
      <c r="C37" s="6"/>
      <c r="D37" s="6" t="s">
        <v>596</v>
      </c>
      <c r="E37" s="6"/>
      <c r="F37" s="6" t="s">
        <v>587</v>
      </c>
    </row>
    <row r="38" spans="1:6" x14ac:dyDescent="0.25">
      <c r="A38" s="6" t="s">
        <v>513</v>
      </c>
      <c r="B38" s="6" t="s">
        <v>588</v>
      </c>
      <c r="C38" s="6"/>
      <c r="D38" s="6" t="s">
        <v>589</v>
      </c>
      <c r="E38" s="6"/>
      <c r="F38" s="6" t="s">
        <v>587</v>
      </c>
    </row>
    <row r="39" spans="1:6" x14ac:dyDescent="0.25">
      <c r="A39" s="6" t="s">
        <v>516</v>
      </c>
      <c r="B39" s="6" t="s">
        <v>588</v>
      </c>
      <c r="C39" s="6"/>
      <c r="D39" s="6" t="s">
        <v>589</v>
      </c>
      <c r="E39" s="6"/>
      <c r="F39" s="6" t="s">
        <v>587</v>
      </c>
    </row>
    <row r="40" spans="1:6" x14ac:dyDescent="0.25">
      <c r="A40" s="6" t="s">
        <v>518</v>
      </c>
      <c r="B40" s="6" t="s">
        <v>162</v>
      </c>
      <c r="C40" s="6"/>
      <c r="D40" s="6" t="s">
        <v>599</v>
      </c>
      <c r="E40" s="6"/>
      <c r="F40" s="6" t="s">
        <v>587</v>
      </c>
    </row>
    <row r="41" spans="1:6" x14ac:dyDescent="0.25">
      <c r="A41" s="6" t="s">
        <v>520</v>
      </c>
      <c r="B41" s="6" t="s">
        <v>171</v>
      </c>
      <c r="C41" s="6"/>
      <c r="D41" s="6" t="s">
        <v>374</v>
      </c>
      <c r="E41" s="6"/>
      <c r="F41" s="6" t="s">
        <v>587</v>
      </c>
    </row>
    <row r="42" spans="1:6" x14ac:dyDescent="0.25">
      <c r="A42" s="6" t="s">
        <v>522</v>
      </c>
      <c r="B42" s="6" t="s">
        <v>609</v>
      </c>
      <c r="C42" s="6"/>
      <c r="D42" s="6" t="s">
        <v>374</v>
      </c>
      <c r="E42" s="6"/>
      <c r="F42" s="6" t="s">
        <v>587</v>
      </c>
    </row>
    <row r="43" spans="1:6" x14ac:dyDescent="0.25">
      <c r="A43" s="6" t="s">
        <v>545</v>
      </c>
      <c r="B43" s="6" t="s">
        <v>609</v>
      </c>
      <c r="C43" s="6"/>
      <c r="D43" s="6" t="s">
        <v>604</v>
      </c>
      <c r="E43" s="6"/>
      <c r="F43" s="6" t="s">
        <v>587</v>
      </c>
    </row>
    <row r="44" spans="1:6" x14ac:dyDescent="0.25">
      <c r="A44" s="6" t="s">
        <v>547</v>
      </c>
      <c r="B44" s="6" t="s">
        <v>613</v>
      </c>
      <c r="C44" s="6"/>
      <c r="D44" s="6" t="s">
        <v>599</v>
      </c>
      <c r="E44" s="6"/>
      <c r="F44" s="6" t="s">
        <v>587</v>
      </c>
    </row>
    <row r="45" spans="1:6" x14ac:dyDescent="0.25">
      <c r="A45" s="6" t="s">
        <v>524</v>
      </c>
      <c r="B45" s="6" t="s">
        <v>602</v>
      </c>
      <c r="C45" s="6"/>
      <c r="D45" s="6" t="s">
        <v>589</v>
      </c>
      <c r="E45" s="6"/>
      <c r="F45" s="6" t="s">
        <v>587</v>
      </c>
    </row>
    <row r="46" spans="1:6" x14ac:dyDescent="0.25">
      <c r="A46" s="6" t="s">
        <v>527</v>
      </c>
      <c r="B46" s="6" t="s">
        <v>171</v>
      </c>
      <c r="C46" s="6"/>
      <c r="D46" s="6" t="s">
        <v>586</v>
      </c>
      <c r="E46" s="6"/>
      <c r="F46" s="6" t="s">
        <v>587</v>
      </c>
    </row>
    <row r="47" spans="1:6" x14ac:dyDescent="0.25">
      <c r="A47" s="6" t="s">
        <v>529</v>
      </c>
      <c r="B47" s="6" t="s">
        <v>162</v>
      </c>
      <c r="C47" s="6"/>
      <c r="D47" s="6" t="s">
        <v>586</v>
      </c>
      <c r="E47" s="6"/>
      <c r="F47" s="6" t="s">
        <v>587</v>
      </c>
    </row>
    <row r="48" spans="1:6" x14ac:dyDescent="0.25">
      <c r="A48" s="6" t="s">
        <v>531</v>
      </c>
      <c r="B48" s="6" t="s">
        <v>171</v>
      </c>
      <c r="C48" s="6"/>
      <c r="D48" s="6" t="s">
        <v>589</v>
      </c>
      <c r="E48" s="6"/>
      <c r="F48" s="6" t="s">
        <v>587</v>
      </c>
    </row>
    <row r="49" spans="1:6" x14ac:dyDescent="0.25">
      <c r="A49" s="6" t="s">
        <v>533</v>
      </c>
      <c r="B49" s="6" t="s">
        <v>614</v>
      </c>
      <c r="C49" s="6"/>
      <c r="D49" s="6" t="s">
        <v>374</v>
      </c>
      <c r="E49" s="6"/>
      <c r="F49" s="6" t="s">
        <v>587</v>
      </c>
    </row>
    <row r="50" spans="1:6" x14ac:dyDescent="0.25">
      <c r="A50" s="6" t="s">
        <v>535</v>
      </c>
      <c r="B50" s="6" t="s">
        <v>585</v>
      </c>
      <c r="C50" s="6"/>
      <c r="D50" s="6" t="s">
        <v>607</v>
      </c>
      <c r="E50" s="6"/>
      <c r="F50" s="6" t="s">
        <v>587</v>
      </c>
    </row>
    <row r="51" spans="1:6" x14ac:dyDescent="0.25">
      <c r="A51" s="6" t="s">
        <v>537</v>
      </c>
      <c r="B51" s="6" t="s">
        <v>615</v>
      </c>
      <c r="C51" s="6"/>
      <c r="D51" s="6" t="s">
        <v>589</v>
      </c>
      <c r="E51" s="6"/>
      <c r="F51" s="6" t="s">
        <v>587</v>
      </c>
    </row>
    <row r="52" spans="1:6" x14ac:dyDescent="0.25">
      <c r="A52" s="6" t="s">
        <v>539</v>
      </c>
      <c r="B52" s="6" t="s">
        <v>162</v>
      </c>
      <c r="C52" s="6"/>
      <c r="D52" s="6" t="s">
        <v>616</v>
      </c>
      <c r="E52" s="6"/>
      <c r="F52" s="6" t="s">
        <v>587</v>
      </c>
    </row>
    <row r="53" spans="1:6" x14ac:dyDescent="0.25">
      <c r="A53" s="6" t="s">
        <v>541</v>
      </c>
      <c r="B53" s="6" t="s">
        <v>613</v>
      </c>
      <c r="C53" s="6"/>
      <c r="D53" s="6" t="s">
        <v>589</v>
      </c>
      <c r="E53" s="6"/>
      <c r="F53" s="6" t="s">
        <v>587</v>
      </c>
    </row>
    <row r="54" spans="1:6" x14ac:dyDescent="0.25">
      <c r="A54" s="6" t="s">
        <v>543</v>
      </c>
      <c r="B54" s="6" t="s">
        <v>615</v>
      </c>
      <c r="C54" s="6"/>
      <c r="D54" s="6" t="s">
        <v>374</v>
      </c>
      <c r="E54" s="6"/>
      <c r="F54" s="6" t="s">
        <v>587</v>
      </c>
    </row>
    <row r="55" spans="1:6" x14ac:dyDescent="0.25">
      <c r="A55" s="6" t="s">
        <v>544</v>
      </c>
      <c r="B55" s="6" t="s">
        <v>613</v>
      </c>
      <c r="C55" s="6"/>
      <c r="D55" s="6" t="s">
        <v>374</v>
      </c>
      <c r="E55" s="6"/>
      <c r="F55" s="6" t="s">
        <v>587</v>
      </c>
    </row>
    <row r="56" spans="1:6" x14ac:dyDescent="0.25">
      <c r="A56" s="6" t="s">
        <v>546</v>
      </c>
      <c r="B56" s="6" t="s">
        <v>162</v>
      </c>
      <c r="C56" s="6"/>
      <c r="D56" s="6" t="s">
        <v>374</v>
      </c>
      <c r="E56" s="6"/>
      <c r="F56" s="6" t="s">
        <v>587</v>
      </c>
    </row>
    <row r="57" spans="1:6" x14ac:dyDescent="0.25">
      <c r="A57" s="6" t="s">
        <v>548</v>
      </c>
      <c r="B57" s="6" t="s">
        <v>585</v>
      </c>
      <c r="C57" s="6"/>
      <c r="D57" s="6" t="s">
        <v>598</v>
      </c>
      <c r="E57" s="6"/>
      <c r="F57" s="6" t="s">
        <v>587</v>
      </c>
    </row>
    <row r="58" spans="1:6" x14ac:dyDescent="0.25">
      <c r="A58" s="6" t="s">
        <v>549</v>
      </c>
      <c r="B58" s="6" t="s">
        <v>595</v>
      </c>
      <c r="C58" s="6"/>
      <c r="D58" s="6" t="s">
        <v>617</v>
      </c>
      <c r="E58" s="6"/>
      <c r="F58" s="6" t="s">
        <v>587</v>
      </c>
    </row>
    <row r="59" spans="1:6" x14ac:dyDescent="0.25">
      <c r="A59" s="6" t="s">
        <v>550</v>
      </c>
      <c r="B59" s="6" t="s">
        <v>614</v>
      </c>
      <c r="C59" s="6"/>
      <c r="D59" s="6" t="s">
        <v>374</v>
      </c>
      <c r="E59" s="6"/>
      <c r="F59" s="6" t="s">
        <v>587</v>
      </c>
    </row>
    <row r="60" spans="1:6" x14ac:dyDescent="0.25">
      <c r="A60" s="6" t="s">
        <v>563</v>
      </c>
      <c r="B60" s="6" t="s">
        <v>595</v>
      </c>
      <c r="C60" s="6"/>
      <c r="D60" s="6" t="s">
        <v>594</v>
      </c>
      <c r="E60" s="6"/>
      <c r="F60" s="6" t="s">
        <v>587</v>
      </c>
    </row>
    <row r="61" spans="1:6" x14ac:dyDescent="0.25">
      <c r="A61" s="6" t="s">
        <v>565</v>
      </c>
      <c r="B61" s="6" t="s">
        <v>585</v>
      </c>
      <c r="C61" s="6"/>
      <c r="D61" s="6" t="s">
        <v>598</v>
      </c>
      <c r="E61" s="6"/>
      <c r="F61" s="6" t="s">
        <v>587</v>
      </c>
    </row>
    <row r="62" spans="1:6" x14ac:dyDescent="0.25">
      <c r="A62" s="6" t="s">
        <v>457</v>
      </c>
      <c r="B62" s="6" t="s">
        <v>197</v>
      </c>
      <c r="C62" s="6"/>
      <c r="D62" s="6" t="s">
        <v>616</v>
      </c>
      <c r="E62" s="6"/>
      <c r="F62" s="6" t="s">
        <v>587</v>
      </c>
    </row>
    <row r="63" spans="1:6" x14ac:dyDescent="0.25">
      <c r="A63" s="6" t="s">
        <v>551</v>
      </c>
      <c r="B63" s="6" t="s">
        <v>595</v>
      </c>
      <c r="C63" s="6"/>
      <c r="D63" s="6" t="s">
        <v>589</v>
      </c>
      <c r="E63" s="6"/>
      <c r="F63" s="6" t="s">
        <v>587</v>
      </c>
    </row>
    <row r="64" spans="1:6" x14ac:dyDescent="0.25">
      <c r="A64" s="6" t="s">
        <v>552</v>
      </c>
      <c r="B64" s="6" t="s">
        <v>591</v>
      </c>
      <c r="C64" s="6"/>
      <c r="D64" s="6" t="s">
        <v>589</v>
      </c>
      <c r="E64" s="6"/>
      <c r="F64" s="6" t="s">
        <v>587</v>
      </c>
    </row>
    <row r="65" spans="1:6" x14ac:dyDescent="0.25">
      <c r="A65" s="6" t="s">
        <v>570</v>
      </c>
      <c r="B65" s="6" t="s">
        <v>618</v>
      </c>
      <c r="C65" s="6"/>
      <c r="D65" s="6" t="s">
        <v>619</v>
      </c>
      <c r="E65" s="6"/>
      <c r="F65" s="6" t="s">
        <v>587</v>
      </c>
    </row>
    <row r="66" spans="1:6" x14ac:dyDescent="0.25">
      <c r="A66" s="6" t="s">
        <v>553</v>
      </c>
      <c r="B66" s="6" t="s">
        <v>602</v>
      </c>
      <c r="C66" s="6"/>
      <c r="D66" s="6" t="s">
        <v>586</v>
      </c>
      <c r="E66" s="6"/>
      <c r="F66" s="6" t="s">
        <v>587</v>
      </c>
    </row>
    <row r="67" spans="1:6" x14ac:dyDescent="0.25">
      <c r="A67" s="6" t="s">
        <v>620</v>
      </c>
      <c r="B67" s="6" t="s">
        <v>591</v>
      </c>
      <c r="C67" s="6"/>
      <c r="D67" s="6" t="s">
        <v>604</v>
      </c>
      <c r="E67" s="6"/>
      <c r="F67" s="6" t="s">
        <v>587</v>
      </c>
    </row>
    <row r="68" spans="1:6" x14ac:dyDescent="0.25">
      <c r="A68" s="6" t="s">
        <v>554</v>
      </c>
      <c r="B68" s="6" t="s">
        <v>591</v>
      </c>
      <c r="C68" s="6"/>
      <c r="D68" s="6" t="s">
        <v>598</v>
      </c>
      <c r="E68" s="6"/>
      <c r="F68" s="6" t="s">
        <v>587</v>
      </c>
    </row>
    <row r="69" spans="1:6" x14ac:dyDescent="0.25">
      <c r="A69" s="6" t="s">
        <v>555</v>
      </c>
      <c r="B69" s="6" t="s">
        <v>171</v>
      </c>
      <c r="C69" s="6"/>
      <c r="D69" s="6" t="s">
        <v>590</v>
      </c>
      <c r="E69" s="6"/>
      <c r="F69" s="6" t="s">
        <v>587</v>
      </c>
    </row>
    <row r="70" spans="1:6" x14ac:dyDescent="0.25">
      <c r="A70" s="6" t="s">
        <v>556</v>
      </c>
      <c r="B70" s="6" t="s">
        <v>597</v>
      </c>
      <c r="C70" s="6"/>
      <c r="D70" s="6" t="s">
        <v>616</v>
      </c>
      <c r="E70" s="6"/>
      <c r="F70" s="6" t="s">
        <v>587</v>
      </c>
    </row>
    <row r="71" spans="1:6" x14ac:dyDescent="0.25">
      <c r="A71" s="6" t="s">
        <v>557</v>
      </c>
      <c r="B71" s="6" t="s">
        <v>162</v>
      </c>
      <c r="C71" s="6"/>
      <c r="D71" s="6" t="s">
        <v>596</v>
      </c>
      <c r="E71" s="6"/>
      <c r="F71" s="6" t="s">
        <v>587</v>
      </c>
    </row>
    <row r="72" spans="1:6" x14ac:dyDescent="0.25">
      <c r="A72" s="6" t="s">
        <v>558</v>
      </c>
      <c r="B72" s="6" t="s">
        <v>602</v>
      </c>
      <c r="C72" s="6"/>
      <c r="D72" s="6" t="s">
        <v>374</v>
      </c>
      <c r="E72" s="6"/>
      <c r="F72" s="6" t="s">
        <v>587</v>
      </c>
    </row>
    <row r="73" spans="1:6" x14ac:dyDescent="0.25">
      <c r="A73" s="6" t="s">
        <v>559</v>
      </c>
      <c r="B73" s="6" t="s">
        <v>585</v>
      </c>
      <c r="C73" s="6"/>
      <c r="D73" s="6" t="s">
        <v>590</v>
      </c>
      <c r="E73" s="6"/>
      <c r="F73" s="6" t="s">
        <v>587</v>
      </c>
    </row>
    <row r="74" spans="1:6" x14ac:dyDescent="0.25">
      <c r="A74" s="6" t="s">
        <v>560</v>
      </c>
      <c r="B74" s="6" t="s">
        <v>595</v>
      </c>
      <c r="C74" s="6"/>
      <c r="D74" s="6" t="s">
        <v>374</v>
      </c>
      <c r="E74" s="6"/>
      <c r="F74" s="6" t="s">
        <v>587</v>
      </c>
    </row>
    <row r="75" spans="1:6" x14ac:dyDescent="0.25">
      <c r="A75" s="6" t="s">
        <v>561</v>
      </c>
      <c r="B75" s="6" t="s">
        <v>162</v>
      </c>
      <c r="C75" s="6"/>
      <c r="D75" s="6" t="s">
        <v>374</v>
      </c>
      <c r="E75" s="6"/>
      <c r="F75" s="6" t="s">
        <v>587</v>
      </c>
    </row>
    <row r="76" spans="1:6" x14ac:dyDescent="0.25">
      <c r="A76" s="6" t="s">
        <v>562</v>
      </c>
      <c r="B76" s="6" t="s">
        <v>609</v>
      </c>
      <c r="C76" s="6"/>
      <c r="D76" s="6" t="s">
        <v>374</v>
      </c>
      <c r="E76" s="6"/>
      <c r="F76" s="6" t="s">
        <v>587</v>
      </c>
    </row>
    <row r="77" spans="1:6" x14ac:dyDescent="0.25">
      <c r="A77" s="6" t="s">
        <v>574</v>
      </c>
      <c r="B77" s="6" t="s">
        <v>197</v>
      </c>
      <c r="C77" s="6"/>
      <c r="D77" s="6" t="s">
        <v>596</v>
      </c>
      <c r="E77" s="6"/>
      <c r="F77" s="6" t="s">
        <v>587</v>
      </c>
    </row>
    <row r="78" spans="1:6" x14ac:dyDescent="0.25">
      <c r="A78" s="6" t="s">
        <v>564</v>
      </c>
      <c r="B78" s="6" t="s">
        <v>591</v>
      </c>
      <c r="C78" s="6"/>
      <c r="D78" s="6" t="s">
        <v>590</v>
      </c>
      <c r="E78" s="6"/>
      <c r="F78" s="6" t="s">
        <v>587</v>
      </c>
    </row>
    <row r="79" spans="1:6" x14ac:dyDescent="0.25">
      <c r="A79" s="6" t="s">
        <v>566</v>
      </c>
      <c r="B79" s="6" t="s">
        <v>621</v>
      </c>
      <c r="C79" s="6"/>
      <c r="D79" s="6" t="s">
        <v>589</v>
      </c>
      <c r="E79" s="6"/>
      <c r="F79" s="6" t="s">
        <v>587</v>
      </c>
    </row>
    <row r="80" spans="1:6" x14ac:dyDescent="0.25">
      <c r="A80" s="6" t="s">
        <v>567</v>
      </c>
      <c r="B80" s="6" t="s">
        <v>585</v>
      </c>
      <c r="C80" s="6"/>
      <c r="D80" s="6" t="s">
        <v>622</v>
      </c>
      <c r="E80" s="6"/>
      <c r="F80" s="6" t="s">
        <v>587</v>
      </c>
    </row>
    <row r="81" spans="1:6" x14ac:dyDescent="0.25">
      <c r="A81" s="6" t="s">
        <v>568</v>
      </c>
      <c r="B81" s="6" t="s">
        <v>602</v>
      </c>
      <c r="C81" s="6"/>
      <c r="D81" s="6" t="s">
        <v>589</v>
      </c>
      <c r="E81" s="6"/>
      <c r="F81" s="6" t="s">
        <v>587</v>
      </c>
    </row>
    <row r="82" spans="1:6" x14ac:dyDescent="0.25">
      <c r="A82" s="6" t="s">
        <v>569</v>
      </c>
      <c r="B82" s="6" t="s">
        <v>597</v>
      </c>
      <c r="C82" s="6"/>
      <c r="D82" s="6" t="s">
        <v>589</v>
      </c>
      <c r="E82" s="6"/>
      <c r="F82" s="6" t="s">
        <v>587</v>
      </c>
    </row>
    <row r="83" spans="1:6" x14ac:dyDescent="0.25">
      <c r="A83" s="6" t="s">
        <v>571</v>
      </c>
      <c r="B83" s="6" t="s">
        <v>591</v>
      </c>
      <c r="C83" s="6"/>
      <c r="D83" s="6" t="s">
        <v>374</v>
      </c>
      <c r="E83" s="6"/>
      <c r="F83" s="6" t="s">
        <v>587</v>
      </c>
    </row>
    <row r="84" spans="1:6" x14ac:dyDescent="0.25">
      <c r="A84" s="6" t="s">
        <v>572</v>
      </c>
      <c r="B84" s="6" t="s">
        <v>615</v>
      </c>
      <c r="C84" s="6"/>
      <c r="D84" s="6" t="s">
        <v>623</v>
      </c>
      <c r="E84" s="6"/>
      <c r="F84" s="6" t="s">
        <v>587</v>
      </c>
    </row>
    <row r="85" spans="1:6" x14ac:dyDescent="0.25">
      <c r="A85" s="6" t="s">
        <v>573</v>
      </c>
      <c r="B85" s="6" t="s">
        <v>597</v>
      </c>
      <c r="C85" s="6"/>
      <c r="D85" s="6" t="s">
        <v>589</v>
      </c>
      <c r="E85" s="6"/>
      <c r="F85" s="6" t="s">
        <v>587</v>
      </c>
    </row>
    <row r="86" spans="1:6" x14ac:dyDescent="0.25">
      <c r="A86" s="6" t="s">
        <v>462</v>
      </c>
      <c r="B86" s="6" t="s">
        <v>162</v>
      </c>
      <c r="C86" s="6"/>
      <c r="D86" s="6" t="s">
        <v>589</v>
      </c>
      <c r="E86" s="6"/>
      <c r="F86" s="6" t="s">
        <v>624</v>
      </c>
    </row>
    <row r="87" spans="1:6" x14ac:dyDescent="0.25">
      <c r="A87" s="6" t="s">
        <v>496</v>
      </c>
      <c r="B87" s="6" t="s">
        <v>162</v>
      </c>
      <c r="C87" s="6"/>
      <c r="D87" s="6" t="s">
        <v>374</v>
      </c>
      <c r="E87" s="6"/>
      <c r="F87" s="6" t="s">
        <v>624</v>
      </c>
    </row>
    <row r="88" spans="1:6" x14ac:dyDescent="0.25">
      <c r="A88" s="6" t="s">
        <v>625</v>
      </c>
      <c r="B88" s="6" t="s">
        <v>162</v>
      </c>
      <c r="C88" s="6"/>
      <c r="D88" s="6" t="s">
        <v>586</v>
      </c>
      <c r="E88" s="6"/>
      <c r="F88" s="6" t="s">
        <v>624</v>
      </c>
    </row>
    <row r="89" spans="1:6" x14ac:dyDescent="0.25">
      <c r="A89" s="6" t="s">
        <v>626</v>
      </c>
      <c r="B89" s="6" t="s">
        <v>171</v>
      </c>
      <c r="C89" s="6"/>
      <c r="D89" s="6" t="s">
        <v>589</v>
      </c>
      <c r="E89" s="6"/>
      <c r="F89" s="6" t="s">
        <v>627</v>
      </c>
    </row>
    <row r="90" spans="1:6" x14ac:dyDescent="0.25">
      <c r="A90" s="6" t="s">
        <v>628</v>
      </c>
      <c r="B90" s="6" t="s">
        <v>629</v>
      </c>
      <c r="C90" s="6"/>
      <c r="D90" s="6" t="s">
        <v>596</v>
      </c>
      <c r="E90" s="6"/>
      <c r="F90" s="6" t="s">
        <v>627</v>
      </c>
    </row>
    <row r="91" spans="1:6" x14ac:dyDescent="0.25">
      <c r="A91" s="6" t="s">
        <v>630</v>
      </c>
      <c r="B91" s="6" t="s">
        <v>171</v>
      </c>
      <c r="C91" s="6"/>
      <c r="D91" s="6" t="s">
        <v>586</v>
      </c>
      <c r="E91" s="6"/>
      <c r="F91" s="6" t="s">
        <v>627</v>
      </c>
    </row>
    <row r="92" spans="1:6" x14ac:dyDescent="0.25">
      <c r="A92" s="6" t="s">
        <v>631</v>
      </c>
      <c r="B92" s="6" t="s">
        <v>162</v>
      </c>
      <c r="C92" s="6"/>
      <c r="D92" s="6" t="s">
        <v>604</v>
      </c>
      <c r="E92" s="6"/>
      <c r="F92" s="6" t="s">
        <v>627</v>
      </c>
    </row>
    <row r="93" spans="1:6" x14ac:dyDescent="0.25">
      <c r="A93" s="6" t="s">
        <v>632</v>
      </c>
      <c r="B93" s="6" t="s">
        <v>171</v>
      </c>
      <c r="C93" s="6"/>
      <c r="D93" s="6" t="s">
        <v>589</v>
      </c>
      <c r="E93" s="6"/>
      <c r="F93" s="6" t="s">
        <v>627</v>
      </c>
    </row>
    <row r="94" spans="1:6" x14ac:dyDescent="0.25">
      <c r="A94" s="6" t="s">
        <v>633</v>
      </c>
      <c r="B94" s="6" t="s">
        <v>591</v>
      </c>
      <c r="C94" s="6"/>
      <c r="D94" s="6" t="s">
        <v>374</v>
      </c>
      <c r="E94" s="6"/>
      <c r="F94" s="6" t="s">
        <v>634</v>
      </c>
    </row>
    <row r="95" spans="1:6" x14ac:dyDescent="0.25">
      <c r="A95" s="6" t="s">
        <v>635</v>
      </c>
      <c r="B95" s="6" t="s">
        <v>591</v>
      </c>
      <c r="C95" s="6"/>
      <c r="D95" s="6" t="s">
        <v>374</v>
      </c>
      <c r="E95" s="6"/>
      <c r="F95" s="6" t="s">
        <v>634</v>
      </c>
    </row>
    <row r="96" spans="1:6" x14ac:dyDescent="0.25">
      <c r="A96" s="6" t="s">
        <v>636</v>
      </c>
      <c r="B96" s="6" t="s">
        <v>162</v>
      </c>
      <c r="C96" s="6"/>
      <c r="D96" s="6" t="s">
        <v>604</v>
      </c>
      <c r="E96" s="6"/>
      <c r="F96" s="6" t="s">
        <v>634</v>
      </c>
    </row>
    <row r="97" spans="1:6" x14ac:dyDescent="0.25">
      <c r="A97" s="6" t="s">
        <v>637</v>
      </c>
      <c r="B97" s="6" t="s">
        <v>171</v>
      </c>
      <c r="C97" s="6"/>
      <c r="D97" s="6" t="s">
        <v>589</v>
      </c>
      <c r="E97" s="6"/>
      <c r="F97" s="6" t="s">
        <v>634</v>
      </c>
    </row>
    <row r="98" spans="1:6" x14ac:dyDescent="0.25">
      <c r="A98" s="6" t="s">
        <v>638</v>
      </c>
      <c r="B98" s="6" t="s">
        <v>591</v>
      </c>
      <c r="C98" s="6"/>
      <c r="D98" s="6" t="s">
        <v>589</v>
      </c>
      <c r="E98" s="6"/>
      <c r="F98" s="6" t="s">
        <v>639</v>
      </c>
    </row>
    <row r="99" spans="1:6" x14ac:dyDescent="0.25">
      <c r="A99" s="6" t="s">
        <v>640</v>
      </c>
      <c r="B99" s="6" t="s">
        <v>591</v>
      </c>
      <c r="C99" s="6"/>
      <c r="D99" s="6" t="s">
        <v>589</v>
      </c>
      <c r="E99" s="6"/>
      <c r="F99" s="6" t="s">
        <v>639</v>
      </c>
    </row>
    <row r="100" spans="1:6" x14ac:dyDescent="0.25">
      <c r="A100" s="6" t="s">
        <v>641</v>
      </c>
      <c r="B100" s="6" t="s">
        <v>591</v>
      </c>
      <c r="C100" s="6"/>
      <c r="D100" s="6" t="s">
        <v>642</v>
      </c>
      <c r="E100" s="6"/>
      <c r="F100" s="6" t="s">
        <v>639</v>
      </c>
    </row>
    <row r="101" spans="1:6" x14ac:dyDescent="0.25">
      <c r="A101" s="6" t="s">
        <v>643</v>
      </c>
      <c r="B101" s="6" t="s">
        <v>644</v>
      </c>
      <c r="C101" s="6"/>
      <c r="D101" s="6" t="s">
        <v>642</v>
      </c>
      <c r="E101" s="6"/>
      <c r="F101" s="6" t="s">
        <v>639</v>
      </c>
    </row>
    <row r="102" spans="1:6" ht="30" x14ac:dyDescent="0.25">
      <c r="A102" s="6" t="s">
        <v>456</v>
      </c>
      <c r="B102" s="6" t="s">
        <v>171</v>
      </c>
      <c r="C102" s="6" t="s">
        <v>645</v>
      </c>
      <c r="D102" s="6" t="s">
        <v>604</v>
      </c>
      <c r="E102" s="6" t="s">
        <v>646</v>
      </c>
      <c r="F102" s="6" t="s">
        <v>647</v>
      </c>
    </row>
    <row r="103" spans="1:6" ht="30" x14ac:dyDescent="0.25">
      <c r="A103" s="6" t="s">
        <v>459</v>
      </c>
      <c r="B103" s="6" t="s">
        <v>171</v>
      </c>
      <c r="C103" s="6" t="s">
        <v>648</v>
      </c>
      <c r="D103" s="6" t="s">
        <v>586</v>
      </c>
      <c r="E103" s="6" t="s">
        <v>374</v>
      </c>
      <c r="F103" s="6" t="s">
        <v>647</v>
      </c>
    </row>
    <row r="104" spans="1:6" ht="30" x14ac:dyDescent="0.25">
      <c r="A104" s="6" t="s">
        <v>461</v>
      </c>
      <c r="B104" s="6" t="s">
        <v>629</v>
      </c>
      <c r="C104" s="6" t="s">
        <v>649</v>
      </c>
      <c r="D104" s="6" t="s">
        <v>607</v>
      </c>
      <c r="E104" s="6" t="s">
        <v>650</v>
      </c>
      <c r="F104" s="6" t="s">
        <v>647</v>
      </c>
    </row>
    <row r="105" spans="1:6" ht="30" x14ac:dyDescent="0.25">
      <c r="A105" s="6" t="s">
        <v>463</v>
      </c>
      <c r="B105" s="6" t="s">
        <v>232</v>
      </c>
      <c r="C105" s="6" t="s">
        <v>651</v>
      </c>
      <c r="D105" s="6" t="s">
        <v>594</v>
      </c>
      <c r="E105" s="6" t="s">
        <v>652</v>
      </c>
      <c r="F105" s="6" t="s">
        <v>647</v>
      </c>
    </row>
    <row r="106" spans="1:6" ht="30" x14ac:dyDescent="0.25">
      <c r="A106" s="6" t="s">
        <v>465</v>
      </c>
      <c r="B106" s="6" t="s">
        <v>197</v>
      </c>
      <c r="C106" s="6" t="s">
        <v>653</v>
      </c>
      <c r="D106" s="6" t="s">
        <v>607</v>
      </c>
      <c r="E106" s="6" t="s">
        <v>652</v>
      </c>
      <c r="F106" s="6" t="s">
        <v>647</v>
      </c>
    </row>
    <row r="107" spans="1:6" ht="30" x14ac:dyDescent="0.25">
      <c r="A107" s="6" t="s">
        <v>467</v>
      </c>
      <c r="B107" s="6" t="s">
        <v>629</v>
      </c>
      <c r="C107" s="6" t="s">
        <v>649</v>
      </c>
      <c r="D107" s="6" t="s">
        <v>607</v>
      </c>
      <c r="E107" s="6" t="s">
        <v>650</v>
      </c>
      <c r="F107" s="6" t="s">
        <v>647</v>
      </c>
    </row>
    <row r="108" spans="1:6" ht="30" x14ac:dyDescent="0.25">
      <c r="A108" s="6" t="s">
        <v>469</v>
      </c>
      <c r="B108" s="6" t="s">
        <v>171</v>
      </c>
      <c r="C108" s="6" t="s">
        <v>654</v>
      </c>
      <c r="D108" s="6" t="s">
        <v>607</v>
      </c>
      <c r="E108" s="6" t="s">
        <v>655</v>
      </c>
      <c r="F108" s="6" t="s">
        <v>647</v>
      </c>
    </row>
    <row r="109" spans="1:6" ht="30" x14ac:dyDescent="0.25">
      <c r="A109" s="6" t="s">
        <v>472</v>
      </c>
      <c r="B109" s="6" t="s">
        <v>606</v>
      </c>
      <c r="C109" s="6" t="s">
        <v>645</v>
      </c>
      <c r="D109" s="6" t="s">
        <v>596</v>
      </c>
      <c r="E109" s="6" t="s">
        <v>646</v>
      </c>
      <c r="F109" s="6" t="s">
        <v>647</v>
      </c>
    </row>
    <row r="110" spans="1:6" ht="30" x14ac:dyDescent="0.25">
      <c r="A110" s="6" t="s">
        <v>475</v>
      </c>
      <c r="B110" s="6" t="s">
        <v>171</v>
      </c>
      <c r="C110" s="6" t="s">
        <v>656</v>
      </c>
      <c r="D110" s="6" t="s">
        <v>598</v>
      </c>
      <c r="E110" s="6" t="s">
        <v>652</v>
      </c>
      <c r="F110" s="6" t="s">
        <v>647</v>
      </c>
    </row>
    <row r="111" spans="1:6" ht="30" x14ac:dyDescent="0.25">
      <c r="A111" s="6" t="s">
        <v>478</v>
      </c>
      <c r="B111" s="6" t="s">
        <v>606</v>
      </c>
      <c r="C111" s="6" t="s">
        <v>657</v>
      </c>
      <c r="D111" s="6" t="s">
        <v>604</v>
      </c>
      <c r="E111" s="6" t="s">
        <v>374</v>
      </c>
      <c r="F111" s="6" t="s">
        <v>647</v>
      </c>
    </row>
    <row r="112" spans="1:6" ht="30" x14ac:dyDescent="0.25">
      <c r="A112" s="6" t="s">
        <v>480</v>
      </c>
      <c r="B112" s="6" t="s">
        <v>162</v>
      </c>
      <c r="C112" s="6" t="s">
        <v>658</v>
      </c>
      <c r="D112" s="6" t="s">
        <v>659</v>
      </c>
      <c r="E112" s="6" t="s">
        <v>650</v>
      </c>
      <c r="F112" s="6" t="s">
        <v>647</v>
      </c>
    </row>
    <row r="113" spans="1:6" ht="30" x14ac:dyDescent="0.25">
      <c r="A113" s="6" t="s">
        <v>483</v>
      </c>
      <c r="B113" s="6" t="s">
        <v>588</v>
      </c>
      <c r="C113" s="6" t="s">
        <v>657</v>
      </c>
      <c r="D113" s="6" t="s">
        <v>586</v>
      </c>
      <c r="E113" s="6" t="s">
        <v>660</v>
      </c>
      <c r="F113" s="6" t="s">
        <v>647</v>
      </c>
    </row>
    <row r="114" spans="1:6" ht="30" x14ac:dyDescent="0.25">
      <c r="A114" s="6" t="s">
        <v>485</v>
      </c>
      <c r="B114" s="6" t="s">
        <v>588</v>
      </c>
      <c r="C114" s="6" t="s">
        <v>661</v>
      </c>
      <c r="D114" s="6" t="s">
        <v>596</v>
      </c>
      <c r="E114" s="6" t="s">
        <v>662</v>
      </c>
      <c r="F114" s="6" t="s">
        <v>647</v>
      </c>
    </row>
    <row r="115" spans="1:6" ht="30" x14ac:dyDescent="0.25">
      <c r="A115" s="6" t="s">
        <v>488</v>
      </c>
      <c r="B115" s="6" t="s">
        <v>171</v>
      </c>
      <c r="C115" s="6" t="s">
        <v>663</v>
      </c>
      <c r="D115" s="6" t="s">
        <v>586</v>
      </c>
      <c r="E115" s="6" t="s">
        <v>662</v>
      </c>
      <c r="F115" s="6" t="s">
        <v>647</v>
      </c>
    </row>
    <row r="116" spans="1:6" ht="30" x14ac:dyDescent="0.25">
      <c r="A116" s="6" t="s">
        <v>490</v>
      </c>
      <c r="B116" s="6" t="s">
        <v>162</v>
      </c>
      <c r="C116" s="6" t="s">
        <v>663</v>
      </c>
      <c r="D116" s="6" t="s">
        <v>604</v>
      </c>
      <c r="E116" s="6" t="s">
        <v>664</v>
      </c>
      <c r="F116" s="6" t="s">
        <v>647</v>
      </c>
    </row>
    <row r="117" spans="1:6" ht="30" x14ac:dyDescent="0.25">
      <c r="A117" s="6" t="s">
        <v>493</v>
      </c>
      <c r="B117" s="6" t="s">
        <v>162</v>
      </c>
      <c r="C117" s="6" t="s">
        <v>657</v>
      </c>
      <c r="D117" s="6" t="s">
        <v>586</v>
      </c>
      <c r="E117" s="6" t="s">
        <v>374</v>
      </c>
      <c r="F117" s="6" t="s">
        <v>647</v>
      </c>
    </row>
    <row r="118" spans="1:6" ht="30" x14ac:dyDescent="0.25">
      <c r="A118" s="6" t="s">
        <v>495</v>
      </c>
      <c r="B118" s="6" t="s">
        <v>606</v>
      </c>
      <c r="C118" s="6" t="s">
        <v>648</v>
      </c>
      <c r="D118" s="6" t="s">
        <v>586</v>
      </c>
      <c r="E118" s="6" t="s">
        <v>646</v>
      </c>
      <c r="F118" s="6" t="s">
        <v>647</v>
      </c>
    </row>
    <row r="119" spans="1:6" ht="30" x14ac:dyDescent="0.25">
      <c r="A119" s="6" t="s">
        <v>497</v>
      </c>
      <c r="B119" s="6" t="s">
        <v>585</v>
      </c>
      <c r="C119" s="6" t="s">
        <v>665</v>
      </c>
      <c r="D119" s="6" t="s">
        <v>596</v>
      </c>
      <c r="E119" s="6" t="s">
        <v>666</v>
      </c>
      <c r="F119" s="6" t="s">
        <v>647</v>
      </c>
    </row>
    <row r="120" spans="1:6" ht="30" x14ac:dyDescent="0.25">
      <c r="A120" s="6" t="s">
        <v>500</v>
      </c>
      <c r="B120" s="6" t="s">
        <v>171</v>
      </c>
      <c r="C120" s="6" t="s">
        <v>667</v>
      </c>
      <c r="D120" s="6" t="s">
        <v>589</v>
      </c>
      <c r="E120" s="6" t="s">
        <v>668</v>
      </c>
      <c r="F120" s="6" t="s">
        <v>669</v>
      </c>
    </row>
    <row r="121" spans="1:6" ht="30" x14ac:dyDescent="0.25">
      <c r="A121" s="6" t="s">
        <v>502</v>
      </c>
      <c r="B121" s="6" t="s">
        <v>239</v>
      </c>
      <c r="C121" s="6" t="s">
        <v>663</v>
      </c>
      <c r="D121" s="6" t="s">
        <v>596</v>
      </c>
      <c r="E121" s="6" t="s">
        <v>670</v>
      </c>
      <c r="F121" s="6" t="s">
        <v>669</v>
      </c>
    </row>
    <row r="122" spans="1:6" ht="30" x14ac:dyDescent="0.25">
      <c r="A122" s="6" t="s">
        <v>505</v>
      </c>
      <c r="B122" s="6" t="s">
        <v>197</v>
      </c>
      <c r="C122" s="6" t="s">
        <v>658</v>
      </c>
      <c r="D122" s="6" t="s">
        <v>659</v>
      </c>
      <c r="E122" s="6" t="s">
        <v>671</v>
      </c>
      <c r="F122" s="6" t="s">
        <v>669</v>
      </c>
    </row>
    <row r="123" spans="1:6" ht="30" x14ac:dyDescent="0.25">
      <c r="A123" s="6" t="s">
        <v>507</v>
      </c>
      <c r="B123" s="6" t="s">
        <v>197</v>
      </c>
      <c r="C123" s="6" t="s">
        <v>672</v>
      </c>
      <c r="D123" s="6" t="s">
        <v>586</v>
      </c>
      <c r="E123" s="6" t="s">
        <v>673</v>
      </c>
      <c r="F123" s="6" t="s">
        <v>669</v>
      </c>
    </row>
    <row r="124" spans="1:6" ht="30" x14ac:dyDescent="0.25">
      <c r="A124" s="6" t="s">
        <v>510</v>
      </c>
      <c r="B124" s="6" t="s">
        <v>591</v>
      </c>
      <c r="C124" s="6" t="s">
        <v>374</v>
      </c>
      <c r="D124" s="6" t="s">
        <v>596</v>
      </c>
      <c r="E124" s="6" t="s">
        <v>674</v>
      </c>
      <c r="F124" s="6" t="s">
        <v>669</v>
      </c>
    </row>
    <row r="125" spans="1:6" ht="30" x14ac:dyDescent="0.25">
      <c r="A125" s="6" t="s">
        <v>512</v>
      </c>
      <c r="B125" s="6" t="s">
        <v>614</v>
      </c>
      <c r="C125" s="6" t="s">
        <v>675</v>
      </c>
      <c r="D125" s="6" t="s">
        <v>676</v>
      </c>
      <c r="E125" s="6" t="s">
        <v>677</v>
      </c>
      <c r="F125" s="6" t="s">
        <v>647</v>
      </c>
    </row>
    <row r="126" spans="1:6" ht="30" x14ac:dyDescent="0.25">
      <c r="A126" s="6" t="s">
        <v>515</v>
      </c>
      <c r="B126" s="6" t="s">
        <v>613</v>
      </c>
      <c r="C126" s="6" t="s">
        <v>678</v>
      </c>
      <c r="D126" s="6" t="s">
        <v>586</v>
      </c>
      <c r="E126" s="6" t="s">
        <v>679</v>
      </c>
      <c r="F126" s="6" t="s">
        <v>680</v>
      </c>
    </row>
    <row r="127" spans="1:6" ht="30" x14ac:dyDescent="0.25">
      <c r="A127" s="6" t="s">
        <v>517</v>
      </c>
      <c r="B127" s="6" t="s">
        <v>585</v>
      </c>
      <c r="C127" s="6" t="s">
        <v>681</v>
      </c>
      <c r="D127" s="6" t="s">
        <v>589</v>
      </c>
      <c r="E127" s="6" t="s">
        <v>682</v>
      </c>
      <c r="F127" s="6" t="s">
        <v>680</v>
      </c>
    </row>
    <row r="128" spans="1:6" ht="30" x14ac:dyDescent="0.25">
      <c r="A128" s="6" t="s">
        <v>519</v>
      </c>
      <c r="B128" s="6" t="s">
        <v>615</v>
      </c>
      <c r="C128" s="6" t="s">
        <v>648</v>
      </c>
      <c r="D128" s="6" t="s">
        <v>598</v>
      </c>
      <c r="E128" s="6" t="s">
        <v>683</v>
      </c>
      <c r="F128" s="6" t="s">
        <v>680</v>
      </c>
    </row>
    <row r="129" spans="1:6" ht="30" x14ac:dyDescent="0.25">
      <c r="A129" s="6" t="s">
        <v>521</v>
      </c>
      <c r="B129" s="6" t="s">
        <v>162</v>
      </c>
      <c r="C129" s="6" t="s">
        <v>661</v>
      </c>
      <c r="D129" s="6" t="s">
        <v>586</v>
      </c>
      <c r="E129" s="6" t="s">
        <v>684</v>
      </c>
      <c r="F129" s="6" t="s">
        <v>680</v>
      </c>
    </row>
    <row r="130" spans="1:6" ht="30" x14ac:dyDescent="0.25">
      <c r="A130" s="6" t="s">
        <v>523</v>
      </c>
      <c r="B130" s="6" t="s">
        <v>602</v>
      </c>
      <c r="C130" s="6" t="s">
        <v>663</v>
      </c>
      <c r="D130" s="6" t="s">
        <v>586</v>
      </c>
      <c r="E130" s="6" t="s">
        <v>685</v>
      </c>
      <c r="F130" s="6" t="s">
        <v>680</v>
      </c>
    </row>
    <row r="131" spans="1:6" ht="30" x14ac:dyDescent="0.25">
      <c r="A131" s="6" t="s">
        <v>526</v>
      </c>
      <c r="B131" s="6" t="s">
        <v>585</v>
      </c>
      <c r="C131" s="6" t="s">
        <v>678</v>
      </c>
      <c r="D131" s="6" t="s">
        <v>586</v>
      </c>
      <c r="E131" s="6" t="s">
        <v>684</v>
      </c>
      <c r="F131" s="6" t="s">
        <v>680</v>
      </c>
    </row>
    <row r="132" spans="1:6" ht="30" x14ac:dyDescent="0.25">
      <c r="A132" s="6" t="s">
        <v>528</v>
      </c>
      <c r="B132" s="6" t="s">
        <v>162</v>
      </c>
      <c r="C132" s="6" t="s">
        <v>686</v>
      </c>
      <c r="D132" s="6" t="s">
        <v>604</v>
      </c>
      <c r="E132" s="6" t="s">
        <v>374</v>
      </c>
      <c r="F132" s="6" t="s">
        <v>680</v>
      </c>
    </row>
    <row r="133" spans="1:6" ht="30" x14ac:dyDescent="0.25">
      <c r="A133" s="6" t="s">
        <v>530</v>
      </c>
      <c r="B133" s="6" t="s">
        <v>615</v>
      </c>
      <c r="C133" s="6" t="s">
        <v>686</v>
      </c>
      <c r="D133" s="6" t="s">
        <v>604</v>
      </c>
      <c r="E133" s="6" t="s">
        <v>687</v>
      </c>
      <c r="F133" s="6" t="s">
        <v>680</v>
      </c>
    </row>
    <row r="134" spans="1:6" ht="30" x14ac:dyDescent="0.25">
      <c r="A134" s="6" t="s">
        <v>532</v>
      </c>
      <c r="B134" s="6" t="s">
        <v>591</v>
      </c>
      <c r="C134" s="6" t="s">
        <v>665</v>
      </c>
      <c r="D134" s="6" t="s">
        <v>586</v>
      </c>
      <c r="E134" s="6" t="s">
        <v>679</v>
      </c>
      <c r="F134" s="6" t="s">
        <v>680</v>
      </c>
    </row>
    <row r="135" spans="1:6" ht="30" x14ac:dyDescent="0.25">
      <c r="A135" s="6" t="s">
        <v>534</v>
      </c>
      <c r="B135" s="6" t="s">
        <v>591</v>
      </c>
      <c r="C135" s="6" t="s">
        <v>663</v>
      </c>
      <c r="D135" s="6" t="s">
        <v>596</v>
      </c>
      <c r="E135" s="6" t="s">
        <v>688</v>
      </c>
      <c r="F135" s="6" t="s">
        <v>680</v>
      </c>
    </row>
    <row r="136" spans="1:6" ht="30" x14ac:dyDescent="0.25">
      <c r="A136" s="6" t="s">
        <v>536</v>
      </c>
      <c r="B136" s="6" t="s">
        <v>588</v>
      </c>
      <c r="C136" s="6" t="s">
        <v>657</v>
      </c>
      <c r="D136" s="6" t="s">
        <v>590</v>
      </c>
      <c r="E136" s="6" t="s">
        <v>689</v>
      </c>
      <c r="F136" s="6" t="s">
        <v>690</v>
      </c>
    </row>
    <row r="137" spans="1:6" ht="30" x14ac:dyDescent="0.25">
      <c r="A137" s="6" t="s">
        <v>538</v>
      </c>
      <c r="B137" s="6" t="s">
        <v>595</v>
      </c>
      <c r="C137" s="6" t="s">
        <v>681</v>
      </c>
      <c r="D137" s="6" t="s">
        <v>617</v>
      </c>
      <c r="E137" s="6" t="s">
        <v>691</v>
      </c>
      <c r="F137" s="6" t="s">
        <v>690</v>
      </c>
    </row>
    <row r="138" spans="1:6" ht="30" x14ac:dyDescent="0.25">
      <c r="A138" s="6" t="s">
        <v>540</v>
      </c>
      <c r="B138" s="6" t="s">
        <v>588</v>
      </c>
      <c r="C138" s="6" t="s">
        <v>663</v>
      </c>
      <c r="D138" s="6" t="s">
        <v>586</v>
      </c>
      <c r="E138" s="6" t="s">
        <v>692</v>
      </c>
      <c r="F138" s="6" t="s">
        <v>690</v>
      </c>
    </row>
    <row r="139" spans="1:6" ht="30" x14ac:dyDescent="0.25">
      <c r="A139" s="6" t="s">
        <v>542</v>
      </c>
      <c r="B139" s="6" t="s">
        <v>613</v>
      </c>
      <c r="C139" s="6" t="s">
        <v>678</v>
      </c>
      <c r="D139" s="6" t="s">
        <v>374</v>
      </c>
      <c r="E139" s="6" t="s">
        <v>693</v>
      </c>
      <c r="F139" s="6" t="s">
        <v>690</v>
      </c>
    </row>
    <row r="140" spans="1:6" ht="30" x14ac:dyDescent="0.25">
      <c r="A140" s="6" t="s">
        <v>161</v>
      </c>
      <c r="B140" s="6" t="s">
        <v>162</v>
      </c>
      <c r="C140" s="6"/>
      <c r="D140" s="6" t="s">
        <v>163</v>
      </c>
      <c r="E140" s="6" t="s">
        <v>164</v>
      </c>
      <c r="F140" s="6" t="s">
        <v>165</v>
      </c>
    </row>
    <row r="141" spans="1:6" x14ac:dyDescent="0.25">
      <c r="A141" s="6" t="s">
        <v>170</v>
      </c>
      <c r="B141" s="6" t="s">
        <v>171</v>
      </c>
      <c r="C141" s="6"/>
      <c r="D141" s="6" t="s">
        <v>172</v>
      </c>
      <c r="E141" s="6" t="s">
        <v>694</v>
      </c>
      <c r="F141" s="6" t="s">
        <v>165</v>
      </c>
    </row>
    <row r="142" spans="1:6" x14ac:dyDescent="0.25">
      <c r="A142" s="6" t="s">
        <v>178</v>
      </c>
      <c r="B142" s="6" t="s">
        <v>179</v>
      </c>
      <c r="C142" s="6"/>
      <c r="D142" s="6" t="s">
        <v>180</v>
      </c>
      <c r="E142" s="6" t="s">
        <v>695</v>
      </c>
      <c r="F142" s="6" t="s">
        <v>165</v>
      </c>
    </row>
    <row r="143" spans="1:6" x14ac:dyDescent="0.25">
      <c r="A143" s="6" t="s">
        <v>186</v>
      </c>
      <c r="B143" s="6" t="s">
        <v>171</v>
      </c>
      <c r="C143" s="6"/>
      <c r="D143" s="6" t="s">
        <v>187</v>
      </c>
      <c r="E143" s="6" t="s">
        <v>188</v>
      </c>
      <c r="F143" s="6" t="s">
        <v>189</v>
      </c>
    </row>
    <row r="144" spans="1:6" x14ac:dyDescent="0.25">
      <c r="A144" s="6" t="s">
        <v>196</v>
      </c>
      <c r="B144" s="6" t="s">
        <v>197</v>
      </c>
      <c r="C144" s="6"/>
      <c r="D144" s="6" t="s">
        <v>198</v>
      </c>
      <c r="E144" s="6" t="s">
        <v>696</v>
      </c>
      <c r="F144" s="6" t="s">
        <v>189</v>
      </c>
    </row>
    <row r="145" spans="1:6" ht="30" x14ac:dyDescent="0.25">
      <c r="A145" s="6" t="s">
        <v>205</v>
      </c>
      <c r="B145" s="6" t="s">
        <v>197</v>
      </c>
      <c r="C145" s="6"/>
      <c r="D145" s="6" t="s">
        <v>206</v>
      </c>
      <c r="E145" s="6" t="s">
        <v>207</v>
      </c>
      <c r="F145" s="6" t="s">
        <v>189</v>
      </c>
    </row>
    <row r="146" spans="1:6" x14ac:dyDescent="0.25">
      <c r="A146" s="6" t="s">
        <v>213</v>
      </c>
      <c r="B146" s="6" t="s">
        <v>214</v>
      </c>
      <c r="C146" s="6"/>
      <c r="D146" s="6" t="s">
        <v>198</v>
      </c>
      <c r="E146" s="6" t="s">
        <v>697</v>
      </c>
      <c r="F146" s="6" t="s">
        <v>189</v>
      </c>
    </row>
    <row r="147" spans="1:6" ht="30" x14ac:dyDescent="0.25">
      <c r="A147" s="6" t="s">
        <v>222</v>
      </c>
      <c r="B147" s="6" t="s">
        <v>223</v>
      </c>
      <c r="C147" s="6"/>
      <c r="D147" s="6" t="s">
        <v>224</v>
      </c>
      <c r="E147" s="6" t="s">
        <v>225</v>
      </c>
      <c r="F147" s="6" t="s">
        <v>189</v>
      </c>
    </row>
    <row r="148" spans="1:6" x14ac:dyDescent="0.25">
      <c r="A148" s="6" t="s">
        <v>231</v>
      </c>
      <c r="B148" s="6" t="s">
        <v>232</v>
      </c>
      <c r="C148" s="6"/>
      <c r="D148" s="6" t="s">
        <v>224</v>
      </c>
      <c r="E148" s="6" t="s">
        <v>233</v>
      </c>
      <c r="F148" s="6" t="s">
        <v>234</v>
      </c>
    </row>
    <row r="149" spans="1:6" ht="30" x14ac:dyDescent="0.25">
      <c r="A149" s="6" t="s">
        <v>238</v>
      </c>
      <c r="B149" s="6" t="s">
        <v>239</v>
      </c>
      <c r="C149" s="6"/>
      <c r="D149" s="6" t="s">
        <v>240</v>
      </c>
      <c r="E149" s="6" t="s">
        <v>241</v>
      </c>
      <c r="F149" s="6" t="s">
        <v>234</v>
      </c>
    </row>
    <row r="150" spans="1:6" ht="30" x14ac:dyDescent="0.25">
      <c r="A150" s="6" t="s">
        <v>245</v>
      </c>
      <c r="B150" s="6" t="s">
        <v>246</v>
      </c>
      <c r="C150" s="6"/>
      <c r="D150" s="6" t="s">
        <v>247</v>
      </c>
      <c r="E150" s="6" t="s">
        <v>248</v>
      </c>
      <c r="F150" s="6" t="s">
        <v>234</v>
      </c>
    </row>
    <row r="151" spans="1:6" ht="30" x14ac:dyDescent="0.25">
      <c r="A151" s="6" t="s">
        <v>252</v>
      </c>
      <c r="B151" s="6" t="s">
        <v>253</v>
      </c>
      <c r="C151" s="6"/>
      <c r="D151" s="6" t="s">
        <v>254</v>
      </c>
      <c r="E151" s="6" t="s">
        <v>255</v>
      </c>
      <c r="F151" s="6" t="s">
        <v>234</v>
      </c>
    </row>
    <row r="152" spans="1:6" x14ac:dyDescent="0.25">
      <c r="A152" s="6" t="s">
        <v>486</v>
      </c>
      <c r="B152" s="6" t="s">
        <v>171</v>
      </c>
      <c r="C152" s="6"/>
      <c r="D152" s="6" t="s">
        <v>698</v>
      </c>
      <c r="E152" s="6" t="s">
        <v>699</v>
      </c>
      <c r="F152" s="6" t="s">
        <v>486</v>
      </c>
    </row>
    <row r="153" spans="1:6" x14ac:dyDescent="0.25">
      <c r="A153" s="74"/>
      <c r="B153" s="74"/>
      <c r="C153" s="74"/>
      <c r="D153" s="74"/>
      <c r="E153" s="74"/>
      <c r="F153" s="74"/>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C9C9C9"/>
  </sheetPr>
  <dimension ref="A1:U3"/>
  <sheetViews>
    <sheetView showGridLines="0" showRowColHeaders="0" workbookViewId="0">
      <pane xSplit="1" ySplit="1" topLeftCell="B2" activePane="bottomRight" state="frozen"/>
      <selection pane="topRight" activeCell="B1" sqref="B1"/>
      <selection pane="bottomLeft" activeCell="A2" sqref="A2"/>
      <selection pane="bottomRight" activeCell="U4" sqref="U4"/>
    </sheetView>
  </sheetViews>
  <sheetFormatPr defaultColWidth="9.140625" defaultRowHeight="27.75" customHeight="1" x14ac:dyDescent="0.25"/>
  <cols>
    <col min="1" max="1" width="35.140625" style="74" bestFit="1" customWidth="1"/>
    <col min="2" max="2" width="9.140625" style="74"/>
    <col min="3" max="3" width="72.140625" style="74" customWidth="1"/>
    <col min="4" max="4" width="17.42578125" style="74" customWidth="1"/>
    <col min="5" max="5" width="13.85546875" style="74" customWidth="1"/>
    <col min="6" max="8" width="9.140625" style="74"/>
    <col min="9" max="9" width="14.42578125" style="74" customWidth="1"/>
    <col min="10" max="11" width="9.140625" style="74"/>
    <col min="12" max="12" width="10.85546875" style="74" customWidth="1"/>
    <col min="13" max="13" width="14.7109375" style="74" customWidth="1"/>
    <col min="14" max="14" width="15" style="74" customWidth="1"/>
    <col min="15" max="15" width="14.85546875" style="74" customWidth="1"/>
    <col min="16" max="16" width="15.7109375" style="74" customWidth="1"/>
    <col min="17" max="17" width="13.140625" style="74" customWidth="1"/>
    <col min="18" max="18" width="14.7109375" style="74" customWidth="1"/>
    <col min="19" max="19" width="16.5703125" style="74" customWidth="1"/>
    <col min="20" max="20" width="25" style="74" customWidth="1"/>
    <col min="21" max="16384" width="9.140625" style="74"/>
  </cols>
  <sheetData>
    <row r="1" spans="1:21" ht="15" x14ac:dyDescent="0.25">
      <c r="A1" s="6" t="s">
        <v>48</v>
      </c>
      <c r="B1" s="6" t="s">
        <v>13</v>
      </c>
      <c r="C1" s="6" t="s">
        <v>707</v>
      </c>
      <c r="D1" s="6" t="s">
        <v>715</v>
      </c>
      <c r="E1" s="6" t="s">
        <v>716</v>
      </c>
      <c r="F1" s="6" t="s">
        <v>717</v>
      </c>
      <c r="G1" s="6" t="s">
        <v>718</v>
      </c>
      <c r="H1" s="6" t="s">
        <v>719</v>
      </c>
      <c r="I1" s="6" t="s">
        <v>720</v>
      </c>
      <c r="J1" s="6" t="s">
        <v>721</v>
      </c>
      <c r="K1" s="6" t="s">
        <v>722</v>
      </c>
      <c r="L1" s="6" t="s">
        <v>723</v>
      </c>
      <c r="M1" s="6" t="s">
        <v>724</v>
      </c>
      <c r="N1" s="6" t="s">
        <v>725</v>
      </c>
      <c r="O1" s="6" t="s">
        <v>726</v>
      </c>
      <c r="P1" s="6" t="s">
        <v>348</v>
      </c>
      <c r="Q1" s="6" t="s">
        <v>727</v>
      </c>
      <c r="R1" s="6" t="s">
        <v>728</v>
      </c>
      <c r="S1" s="6" t="s">
        <v>729</v>
      </c>
      <c r="T1" s="6" t="s">
        <v>730</v>
      </c>
      <c r="U1" s="6" t="s">
        <v>371</v>
      </c>
    </row>
    <row r="2" spans="1:21" ht="27.75" customHeight="1" x14ac:dyDescent="0.25">
      <c r="A2" s="6" t="s">
        <v>829</v>
      </c>
      <c r="B2" s="6">
        <v>0</v>
      </c>
      <c r="C2" s="6" t="s">
        <v>831</v>
      </c>
      <c r="D2" s="6" t="s">
        <v>731</v>
      </c>
      <c r="E2" s="6" t="s">
        <v>732</v>
      </c>
      <c r="F2" s="6" t="s">
        <v>717</v>
      </c>
      <c r="G2" s="6" t="s">
        <v>718</v>
      </c>
      <c r="H2" s="6"/>
      <c r="I2" s="6" t="s">
        <v>733</v>
      </c>
      <c r="J2" s="6" t="b">
        <v>0</v>
      </c>
      <c r="K2" s="6" t="s">
        <v>734</v>
      </c>
      <c r="L2" s="6" t="s">
        <v>735</v>
      </c>
      <c r="M2" s="6" t="s">
        <v>736</v>
      </c>
      <c r="N2" s="6" t="s">
        <v>737</v>
      </c>
      <c r="O2" s="6" t="s">
        <v>353</v>
      </c>
      <c r="P2" s="6" t="b">
        <v>0</v>
      </c>
      <c r="Q2" s="6"/>
      <c r="R2" s="6" t="b">
        <v>0</v>
      </c>
      <c r="S2" s="6"/>
      <c r="T2" s="6" t="s">
        <v>738</v>
      </c>
      <c r="U2" s="6" t="s">
        <v>833</v>
      </c>
    </row>
    <row r="3" spans="1:21" ht="27.75" customHeight="1" x14ac:dyDescent="0.25">
      <c r="A3" s="6" t="s">
        <v>830</v>
      </c>
      <c r="B3" s="6">
        <v>0</v>
      </c>
      <c r="C3" s="6" t="s">
        <v>832</v>
      </c>
      <c r="D3" s="6"/>
      <c r="E3" s="6" t="s">
        <v>739</v>
      </c>
      <c r="F3" s="6" t="s">
        <v>717</v>
      </c>
      <c r="G3" s="6" t="s">
        <v>718</v>
      </c>
      <c r="H3" s="6"/>
      <c r="I3" s="6" t="s">
        <v>733</v>
      </c>
      <c r="J3" s="6" t="b">
        <v>0</v>
      </c>
      <c r="K3" s="6" t="s">
        <v>740</v>
      </c>
      <c r="L3" s="6" t="s">
        <v>741</v>
      </c>
      <c r="M3" s="6"/>
      <c r="N3" s="6" t="s">
        <v>714</v>
      </c>
      <c r="O3" s="6"/>
      <c r="P3" s="6" t="b">
        <v>0</v>
      </c>
      <c r="Q3" s="6"/>
      <c r="R3" s="6" t="b">
        <v>0</v>
      </c>
      <c r="S3" s="6"/>
      <c r="T3" s="6" t="s">
        <v>742</v>
      </c>
      <c r="U3" s="6" t="s">
        <v>833</v>
      </c>
    </row>
  </sheetData>
  <phoneticPr fontId="24"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C9C9C9"/>
  </sheetPr>
  <dimension ref="A1:J4"/>
  <sheetViews>
    <sheetView showGridLines="0" showRowColHeaders="0" workbookViewId="0">
      <pane ySplit="1" topLeftCell="A2" activePane="bottomLeft" state="frozen"/>
      <selection pane="bottomLeft" activeCell="I16" sqref="I16"/>
    </sheetView>
  </sheetViews>
  <sheetFormatPr defaultColWidth="23.28515625" defaultRowHeight="15" x14ac:dyDescent="0.25"/>
  <cols>
    <col min="1" max="1" width="32" style="36" customWidth="1"/>
    <col min="2" max="2" width="23.28515625" style="36"/>
    <col min="3" max="3" width="14.42578125" style="36" bestFit="1" customWidth="1"/>
    <col min="4" max="4" width="16.5703125" style="36" customWidth="1"/>
    <col min="5" max="5" width="23.28515625" style="36"/>
    <col min="6" max="6" width="30.42578125" style="36" customWidth="1"/>
    <col min="7" max="7" width="23.28515625" style="36"/>
    <col min="8" max="8" width="14.42578125" style="36" customWidth="1"/>
    <col min="9" max="9" width="27" style="36" customWidth="1"/>
    <col min="10" max="10" width="83.28515625" style="36" customWidth="1"/>
    <col min="11" max="16384" width="23.28515625" style="36"/>
  </cols>
  <sheetData>
    <row r="1" spans="1:10" x14ac:dyDescent="0.25">
      <c r="A1" s="6" t="s">
        <v>48</v>
      </c>
      <c r="B1" s="6" t="s">
        <v>700</v>
      </c>
      <c r="C1" s="6" t="s">
        <v>701</v>
      </c>
      <c r="D1" s="6" t="s">
        <v>51</v>
      </c>
      <c r="E1" s="6" t="s">
        <v>702</v>
      </c>
      <c r="F1" s="6" t="s">
        <v>703</v>
      </c>
      <c r="G1" s="6" t="s">
        <v>704</v>
      </c>
      <c r="H1" s="6" t="s">
        <v>705</v>
      </c>
      <c r="I1" s="6" t="s">
        <v>706</v>
      </c>
      <c r="J1" s="6" t="s">
        <v>707</v>
      </c>
    </row>
    <row r="2" spans="1:10" ht="45" x14ac:dyDescent="0.25">
      <c r="A2" s="6" t="s">
        <v>708</v>
      </c>
      <c r="B2" s="6" t="s">
        <v>709</v>
      </c>
      <c r="C2" s="6" t="b">
        <v>1</v>
      </c>
      <c r="D2" s="6" t="s">
        <v>62</v>
      </c>
      <c r="E2" s="6" t="b">
        <v>0</v>
      </c>
      <c r="F2" s="6" t="s">
        <v>65</v>
      </c>
      <c r="G2" s="6" t="s">
        <v>710</v>
      </c>
      <c r="H2" s="6" t="b">
        <v>0</v>
      </c>
      <c r="I2" s="6"/>
      <c r="J2" s="6" t="s">
        <v>711</v>
      </c>
    </row>
    <row r="3" spans="1:10" ht="45" x14ac:dyDescent="0.25">
      <c r="A3" s="6" t="s">
        <v>712</v>
      </c>
      <c r="B3" s="6" t="s">
        <v>709</v>
      </c>
      <c r="C3" s="6" t="b">
        <v>1</v>
      </c>
      <c r="D3" s="6" t="s">
        <v>67</v>
      </c>
      <c r="E3" s="6" t="b">
        <v>0</v>
      </c>
      <c r="F3" s="6" t="s">
        <v>65</v>
      </c>
      <c r="G3" s="6" t="s">
        <v>710</v>
      </c>
      <c r="H3" s="6" t="b">
        <v>0</v>
      </c>
      <c r="I3" s="6"/>
      <c r="J3" s="6" t="s">
        <v>711</v>
      </c>
    </row>
    <row r="4" spans="1:10" ht="45" x14ac:dyDescent="0.25">
      <c r="A4" s="6" t="s">
        <v>713</v>
      </c>
      <c r="B4" s="6" t="s">
        <v>709</v>
      </c>
      <c r="C4" s="6" t="b">
        <v>1</v>
      </c>
      <c r="D4" s="6" t="s">
        <v>72</v>
      </c>
      <c r="E4" s="6" t="b">
        <v>0</v>
      </c>
      <c r="F4" s="6" t="s">
        <v>65</v>
      </c>
      <c r="G4" s="6" t="s">
        <v>710</v>
      </c>
      <c r="H4" s="6" t="b">
        <v>0</v>
      </c>
      <c r="I4" s="6"/>
      <c r="J4" s="6" t="s">
        <v>711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rgb="FFC9C9C9"/>
  </sheetPr>
  <dimension ref="A1:I8"/>
  <sheetViews>
    <sheetView workbookViewId="0">
      <selection activeCell="H56" sqref="H56"/>
    </sheetView>
  </sheetViews>
  <sheetFormatPr defaultColWidth="9.140625" defaultRowHeight="15" x14ac:dyDescent="0.25"/>
  <cols>
    <col min="1" max="1" width="16.5703125" style="36" bestFit="1" customWidth="1"/>
    <col min="2" max="2" width="37.42578125" style="74" bestFit="1" customWidth="1"/>
    <col min="3" max="3" width="0" style="36" hidden="1" customWidth="1"/>
    <col min="4" max="4" width="18.5703125" style="36" customWidth="1"/>
    <col min="5" max="5" width="42.5703125" style="74" customWidth="1"/>
    <col min="6" max="6" width="0" style="36" hidden="1" customWidth="1"/>
    <col min="7" max="7" width="22.85546875" style="36" customWidth="1"/>
    <col min="8" max="8" width="55.42578125" style="74" customWidth="1"/>
    <col min="9" max="9" width="0" style="36" hidden="1" customWidth="1"/>
    <col min="10" max="16384" width="9.140625" style="36"/>
  </cols>
  <sheetData>
    <row r="1" spans="1:9" x14ac:dyDescent="0.25">
      <c r="A1" t="s">
        <v>744</v>
      </c>
      <c r="B1" s="6" t="s">
        <v>142</v>
      </c>
      <c r="C1"/>
      <c r="D1" t="s">
        <v>745</v>
      </c>
      <c r="E1" s="6" t="s">
        <v>142</v>
      </c>
      <c r="F1"/>
      <c r="G1" t="s">
        <v>746</v>
      </c>
      <c r="H1" s="6" t="s">
        <v>142</v>
      </c>
      <c r="I1"/>
    </row>
    <row r="2" spans="1:9" x14ac:dyDescent="0.25">
      <c r="A2" t="s">
        <v>747</v>
      </c>
      <c r="B2" s="6" t="s">
        <v>836</v>
      </c>
      <c r="C2"/>
      <c r="D2" t="s">
        <v>748</v>
      </c>
      <c r="E2" s="6" t="s">
        <v>374</v>
      </c>
      <c r="F2"/>
      <c r="G2" t="s">
        <v>748</v>
      </c>
      <c r="H2" s="6" t="s">
        <v>374</v>
      </c>
      <c r="I2"/>
    </row>
    <row r="3" spans="1:9" x14ac:dyDescent="0.25">
      <c r="A3" t="s">
        <v>749</v>
      </c>
      <c r="B3" s="6" t="s">
        <v>836</v>
      </c>
      <c r="C3"/>
      <c r="D3" t="s">
        <v>750</v>
      </c>
      <c r="E3" s="6" t="s">
        <v>836</v>
      </c>
      <c r="F3"/>
      <c r="G3" t="s">
        <v>751</v>
      </c>
      <c r="H3" s="6" t="s">
        <v>836</v>
      </c>
      <c r="I3"/>
    </row>
    <row r="4" spans="1:9" x14ac:dyDescent="0.25">
      <c r="A4" t="s">
        <v>752</v>
      </c>
      <c r="B4" s="6" t="s">
        <v>836</v>
      </c>
      <c r="C4"/>
      <c r="D4" t="s">
        <v>753</v>
      </c>
      <c r="E4" s="6" t="s">
        <v>836</v>
      </c>
      <c r="F4"/>
      <c r="G4" t="s">
        <v>754</v>
      </c>
      <c r="H4" s="6" t="s">
        <v>836</v>
      </c>
      <c r="I4"/>
    </row>
    <row r="5" spans="1:9" x14ac:dyDescent="0.25">
      <c r="A5" t="s">
        <v>755</v>
      </c>
      <c r="B5" s="6" t="s">
        <v>836</v>
      </c>
      <c r="C5"/>
      <c r="D5" t="s">
        <v>756</v>
      </c>
      <c r="E5" s="6" t="s">
        <v>836</v>
      </c>
      <c r="F5"/>
      <c r="G5" t="s">
        <v>757</v>
      </c>
      <c r="H5" s="6" t="s">
        <v>836</v>
      </c>
      <c r="I5"/>
    </row>
    <row r="6" spans="1:9" x14ac:dyDescent="0.25">
      <c r="A6" t="s">
        <v>743</v>
      </c>
      <c r="B6" s="6" t="s">
        <v>836</v>
      </c>
      <c r="C6"/>
      <c r="D6" t="s">
        <v>758</v>
      </c>
      <c r="E6" s="6" t="s">
        <v>836</v>
      </c>
      <c r="F6"/>
      <c r="G6" t="s">
        <v>759</v>
      </c>
      <c r="H6" s="6" t="s">
        <v>836</v>
      </c>
      <c r="I6"/>
    </row>
    <row r="7" spans="1:9" x14ac:dyDescent="0.25">
      <c r="C7"/>
      <c r="D7" t="s">
        <v>760</v>
      </c>
      <c r="E7" s="6" t="s">
        <v>836</v>
      </c>
      <c r="F7"/>
      <c r="G7" t="s">
        <v>761</v>
      </c>
      <c r="H7" s="6" t="s">
        <v>836</v>
      </c>
      <c r="I7"/>
    </row>
    <row r="8" spans="1:9" x14ac:dyDescent="0.25">
      <c r="C8"/>
      <c r="F8"/>
      <c r="G8" t="s">
        <v>762</v>
      </c>
      <c r="H8" s="6" t="s">
        <v>836</v>
      </c>
      <c r="I8"/>
    </row>
  </sheetData>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C9C9C9"/>
  </sheetPr>
  <dimension ref="A1:C9"/>
  <sheetViews>
    <sheetView workbookViewId="0">
      <selection activeCell="I7" sqref="I7"/>
    </sheetView>
  </sheetViews>
  <sheetFormatPr defaultColWidth="9.140625" defaultRowHeight="15" x14ac:dyDescent="0.25"/>
  <cols>
    <col min="1" max="1" width="20.5703125" style="36" bestFit="1" customWidth="1"/>
    <col min="2" max="2" width="60" style="36" bestFit="1" customWidth="1"/>
    <col min="3" max="3" width="30.140625" style="36" customWidth="1"/>
    <col min="4" max="16384" width="9.140625" style="36"/>
  </cols>
  <sheetData>
    <row r="1" spans="1:3" x14ac:dyDescent="0.25">
      <c r="A1" s="6" t="s">
        <v>155</v>
      </c>
      <c r="B1" s="6" t="s">
        <v>763</v>
      </c>
      <c r="C1" s="6" t="s">
        <v>764</v>
      </c>
    </row>
    <row r="2" spans="1:3" x14ac:dyDescent="0.25">
      <c r="A2" s="6" t="s">
        <v>765</v>
      </c>
      <c r="B2" s="6" t="s">
        <v>766</v>
      </c>
      <c r="C2" s="6"/>
    </row>
    <row r="3" spans="1:3" ht="165" x14ac:dyDescent="0.25">
      <c r="A3" s="6" t="s">
        <v>767</v>
      </c>
      <c r="B3" s="6" t="s">
        <v>768</v>
      </c>
      <c r="C3" s="6" t="s">
        <v>769</v>
      </c>
    </row>
    <row r="4" spans="1:3" x14ac:dyDescent="0.25">
      <c r="A4" s="6" t="s">
        <v>770</v>
      </c>
      <c r="B4" s="6" t="s">
        <v>771</v>
      </c>
      <c r="C4" s="6"/>
    </row>
    <row r="5" spans="1:3" ht="75" x14ac:dyDescent="0.25">
      <c r="A5" s="6" t="s">
        <v>770</v>
      </c>
      <c r="B5" s="6" t="s">
        <v>772</v>
      </c>
      <c r="C5" s="6" t="s">
        <v>773</v>
      </c>
    </row>
    <row r="6" spans="1:3" x14ac:dyDescent="0.25">
      <c r="A6" s="6" t="s">
        <v>774</v>
      </c>
      <c r="B6" s="6" t="s">
        <v>775</v>
      </c>
      <c r="C6" s="6"/>
    </row>
    <row r="7" spans="1:3" ht="270" x14ac:dyDescent="0.25">
      <c r="A7" s="6" t="s">
        <v>776</v>
      </c>
      <c r="B7" s="6" t="s">
        <v>777</v>
      </c>
      <c r="C7" s="6" t="s">
        <v>778</v>
      </c>
    </row>
    <row r="8" spans="1:3" ht="225" x14ac:dyDescent="0.25">
      <c r="A8" s="6" t="s">
        <v>779</v>
      </c>
      <c r="B8" s="6" t="s">
        <v>780</v>
      </c>
      <c r="C8" s="6" t="s">
        <v>781</v>
      </c>
    </row>
    <row r="9" spans="1:3" ht="240" x14ac:dyDescent="0.25">
      <c r="A9" s="6" t="s">
        <v>782</v>
      </c>
      <c r="B9" s="6" t="s">
        <v>783</v>
      </c>
      <c r="C9" s="6" t="s">
        <v>784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vt:i4>
      </vt:variant>
    </vt:vector>
  </HeadingPairs>
  <TitlesOfParts>
    <vt:vector size="18" baseType="lpstr">
      <vt:lpstr>Aux Lists</vt:lpstr>
      <vt:lpstr>Character Lists</vt:lpstr>
      <vt:lpstr>Player Manager</vt:lpstr>
      <vt:lpstr>Encounter</vt:lpstr>
      <vt:lpstr>Encounter Builder</vt:lpstr>
      <vt:lpstr>Xanathar's Encounter Builder</vt:lpstr>
      <vt:lpstr>Saved Encounters</vt:lpstr>
      <vt:lpstr>Loot Tables</vt:lpstr>
      <vt:lpstr>Enemy Library</vt:lpstr>
      <vt:lpstr>Item Library</vt:lpstr>
      <vt:lpstr>Spell Library</vt:lpstr>
      <vt:lpstr>Magic Item Library</vt:lpstr>
      <vt:lpstr>Environmental</vt:lpstr>
      <vt:lpstr>Random Encounters</vt:lpstr>
      <vt:lpstr>AutoRollNPCInitiative</vt:lpstr>
      <vt:lpstr>AutoRollPlayerInitiative</vt:lpstr>
      <vt:lpstr>AwardWeightedEXP</vt:lpstr>
      <vt:lpstr>RollHP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Tech Fellow Admin Account</dc:creator>
  <cp:keywords/>
  <dc:description/>
  <cp:lastModifiedBy>Linc Stoel</cp:lastModifiedBy>
  <cp:revision/>
  <dcterms:created xsi:type="dcterms:W3CDTF">2018-03-27T17:53:05Z</dcterms:created>
  <dcterms:modified xsi:type="dcterms:W3CDTF">2023-10-24T16:02:25Z</dcterms:modified>
  <cp:category/>
  <cp:contentStatus/>
</cp:coreProperties>
</file>